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记录表" sheetId="1" state="visible" r:id="rId1"/>
    <sheet xmlns:r="http://schemas.openxmlformats.org/officeDocument/2006/relationships" name="测试用例集" sheetId="2" state="visible" r:id="rId2"/>
    <sheet xmlns:r="http://schemas.openxmlformats.org/officeDocument/2006/relationships" name="通过标准" sheetId="3" state="visible" r:id="rId3"/>
    <sheet xmlns:r="http://schemas.openxmlformats.org/officeDocument/2006/relationships" name="优化动作清单" sheetId="4" state="visible" r:id="rId4"/>
  </sheets>
  <definedNames>
    <definedName name="_xlnm._FilterDatabase" localSheetId="0" hidden="1">'测试记录表'!$A$1:$K$21</definedName>
    <definedName name="_xlnm._FilterDatabase" localSheetId="1" hidden="1">'测试用例集'!$A$1:$M$21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FFFFFFFF"/>
      <sz val="10.5"/>
    </font>
    <font>
      <sz val="10.5"/>
    </font>
    <font>
      <b val="1"/>
      <sz val="10.5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1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1" fillId="5" borderId="1" pivotButton="0" quotePrefix="0" xfId="0"/>
    <xf numFmtId="1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5">
    <dxf>
      <font>
        <b val="1"/>
        <color rgb="FF006100"/>
        <sz val="10.5"/>
      </font>
      <fill>
        <patternFill patternType="solid">
          <fgColor rgb="FFC6EFCE"/>
        </patternFill>
      </fill>
    </dxf>
    <dxf>
      <font>
        <b val="1"/>
        <color rgb="FF9C0006"/>
        <sz val="10.5"/>
      </font>
      <fill>
        <patternFill patternType="solid">
          <fgColor rgb="FFFFC7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0006"/>
        <sz val="10.5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34" customWidth="1" min="6" max="6"/>
    <col width="10" customWidth="1" min="7" max="7"/>
    <col width="10" customWidth="1" min="8" max="8"/>
    <col width="11" customWidth="1" min="9" max="9"/>
    <col width="10" customWidth="1" min="10" max="10"/>
    <col width="40" customWidth="1" min="11" max="11"/>
  </cols>
  <sheetData>
    <row r="1">
      <c r="A1" s="1" t="inlineStr">
        <is>
          <t>用例编号</t>
        </is>
      </c>
      <c r="B1" s="1" t="inlineStr">
        <is>
          <t>层次</t>
        </is>
      </c>
      <c r="C1" s="1" t="inlineStr">
        <is>
          <t>预期等级</t>
        </is>
      </c>
      <c r="D1" s="1" t="inlineStr">
        <is>
          <t>预期下限</t>
        </is>
      </c>
      <c r="E1" s="1" t="inlineStr">
        <is>
          <t>预期上限</t>
        </is>
      </c>
      <c r="F1" s="2" t="inlineStr">
        <is>
          <t>关键校验点</t>
        </is>
      </c>
      <c r="G1" s="1" t="inlineStr">
        <is>
          <t>实际总分</t>
        </is>
      </c>
      <c r="H1" s="1" t="inlineStr">
        <is>
          <t>实际等级</t>
        </is>
      </c>
      <c r="I1" s="1" t="inlineStr">
        <is>
          <t>关键词命中</t>
        </is>
      </c>
      <c r="J1" s="1" t="inlineStr">
        <is>
          <t>判定</t>
        </is>
      </c>
      <c r="K1" s="2" t="inlineStr">
        <is>
          <t>归因备注（错在哪一环）</t>
        </is>
      </c>
    </row>
    <row r="2">
      <c r="A2" s="3" t="inlineStr">
        <is>
          <t>TC-01</t>
        </is>
      </c>
      <c r="B2" s="4">
        <f>IFERROR(VLOOKUP($A2,测试用例集!$A:$M,2,FALSE),"")</f>
        <v/>
      </c>
      <c r="C2" s="4">
        <f>IFERROR(VLOOKUP($A2,测试用例集!$A:$M,9,FALSE),"")</f>
        <v/>
      </c>
      <c r="D2" s="5">
        <f>IFERROR(VLOOKUP($A2,测试用例集!$A:$M,10,FALSE),"")</f>
        <v/>
      </c>
      <c r="E2" s="5">
        <f>IFERROR(VLOOKUP($A2,测试用例集!$A:$M,11,FALSE),"")</f>
        <v/>
      </c>
      <c r="F2" s="6">
        <f>IFERROR(VLOOKUP($A2,测试用例集!$A:$M,12,FALSE),"")</f>
        <v/>
      </c>
      <c r="G2" s="7" t="n">
        <v>91</v>
      </c>
      <c r="H2" s="8" t="inlineStr">
        <is>
          <t>SQL</t>
        </is>
      </c>
      <c r="I2" s="8" t="inlineStr">
        <is>
          <t>是</t>
        </is>
      </c>
      <c r="J2" s="3">
        <f>IF(OR($G2="",$H2=""),"待测",IF(AND(ISNUMBER(SEARCH($H2,$C2)),IF($D2="",TRUE,$G2&gt;=$D2),IF($E2="",TRUE,$G2&lt;=$E2),OR($I2="是",$I2="—")),"通过","不通过"))</f>
        <v/>
      </c>
      <c r="K2" s="9" t="inlineStr"/>
    </row>
    <row r="3">
      <c r="A3" s="3" t="inlineStr">
        <is>
          <t>TC-02</t>
        </is>
      </c>
      <c r="B3" s="4">
        <f>IFERROR(VLOOKUP($A3,测试用例集!$A:$M,2,FALSE),"")</f>
        <v/>
      </c>
      <c r="C3" s="4">
        <f>IFERROR(VLOOKUP($A3,测试用例集!$A:$M,9,FALSE),"")</f>
        <v/>
      </c>
      <c r="D3" s="5">
        <f>IFERROR(VLOOKUP($A3,测试用例集!$A:$M,10,FALSE),"")</f>
        <v/>
      </c>
      <c r="E3" s="5">
        <f>IFERROR(VLOOKUP($A3,测试用例集!$A:$M,11,FALSE),"")</f>
        <v/>
      </c>
      <c r="F3" s="6">
        <f>IFERROR(VLOOKUP($A3,测试用例集!$A:$M,12,FALSE),"")</f>
        <v/>
      </c>
      <c r="G3" s="7" t="n">
        <v>78</v>
      </c>
      <c r="H3" s="8" t="inlineStr">
        <is>
          <t>SQL</t>
        </is>
      </c>
      <c r="I3" s="8" t="inlineStr">
        <is>
          <t>是</t>
        </is>
      </c>
      <c r="J3" s="3">
        <f>IF(OR($G3="",$H3=""),"待测",IF(AND(ISNUMBER(SEARCH($H3,$C3)),IF($D3="",TRUE,$G3&gt;=$D3),IF($E3="",TRUE,$G3&lt;=$E3),OR($I3="是",$I3="—")),"通过","不通过"))</f>
        <v/>
      </c>
      <c r="K3" s="9" t="inlineStr"/>
    </row>
    <row r="4">
      <c r="A4" s="3" t="inlineStr">
        <is>
          <t>TC-03</t>
        </is>
      </c>
      <c r="B4" s="4">
        <f>IFERROR(VLOOKUP($A4,测试用例集!$A:$M,2,FALSE),"")</f>
        <v/>
      </c>
      <c r="C4" s="4">
        <f>IFERROR(VLOOKUP($A4,测试用例集!$A:$M,9,FALSE),"")</f>
        <v/>
      </c>
      <c r="D4" s="5">
        <f>IFERROR(VLOOKUP($A4,测试用例集!$A:$M,10,FALSE),"")</f>
        <v/>
      </c>
      <c r="E4" s="5">
        <f>IFERROR(VLOOKUP($A4,测试用例集!$A:$M,11,FALSE),"")</f>
        <v/>
      </c>
      <c r="F4" s="6">
        <f>IFERROR(VLOOKUP($A4,测试用例集!$A:$M,12,FALSE),"")</f>
        <v/>
      </c>
      <c r="G4" s="7" t="n">
        <v>43</v>
      </c>
      <c r="H4" s="8" t="inlineStr">
        <is>
          <t>MQL</t>
        </is>
      </c>
      <c r="I4" s="8" t="inlineStr">
        <is>
          <t>—</t>
        </is>
      </c>
      <c r="J4" s="3">
        <f>IF(OR($G4="",$H4=""),"待测",IF(AND(ISNUMBER(SEARCH($H4,$C4)),IF($D4="",TRUE,$G4&gt;=$D4),IF($E4="",TRUE,$G4&lt;=$E4),OR($I4="是",$I4="—")),"通过","不通过"))</f>
        <v/>
      </c>
      <c r="K4" s="9" t="inlineStr"/>
    </row>
    <row r="5">
      <c r="A5" s="3" t="inlineStr">
        <is>
          <t>TC-04</t>
        </is>
      </c>
      <c r="B5" s="4">
        <f>IFERROR(VLOOKUP($A5,测试用例集!$A:$M,2,FALSE),"")</f>
        <v/>
      </c>
      <c r="C5" s="4">
        <f>IFERROR(VLOOKUP($A5,测试用例集!$A:$M,9,FALSE),"")</f>
        <v/>
      </c>
      <c r="D5" s="5">
        <f>IFERROR(VLOOKUP($A5,测试用例集!$A:$M,10,FALSE),"")</f>
        <v/>
      </c>
      <c r="E5" s="5">
        <f>IFERROR(VLOOKUP($A5,测试用例集!$A:$M,11,FALSE),"")</f>
        <v/>
      </c>
      <c r="F5" s="6">
        <f>IFERROR(VLOOKUP($A5,测试用例集!$A:$M,12,FALSE),"")</f>
        <v/>
      </c>
      <c r="G5" s="7" t="n">
        <v>33</v>
      </c>
      <c r="H5" s="8" t="inlineStr">
        <is>
          <t>MQL</t>
        </is>
      </c>
      <c r="I5" s="8" t="inlineStr">
        <is>
          <t>—</t>
        </is>
      </c>
      <c r="J5" s="3">
        <f>IF(OR($G5="",$H5=""),"待测",IF(AND(ISNUMBER(SEARCH($H5,$C5)),IF($D5="",TRUE,$G5&gt;=$D5),IF($E5="",TRUE,$G5&lt;=$E5),OR($I5="是",$I5="—")),"通过","不通过"))</f>
        <v/>
      </c>
      <c r="K5" s="9" t="inlineStr"/>
    </row>
    <row r="6">
      <c r="A6" s="3" t="inlineStr">
        <is>
          <t>TC-05</t>
        </is>
      </c>
      <c r="B6" s="4">
        <f>IFERROR(VLOOKUP($A6,测试用例集!$A:$M,2,FALSE),"")</f>
        <v/>
      </c>
      <c r="C6" s="4">
        <f>IFERROR(VLOOKUP($A6,测试用例集!$A:$M,9,FALSE),"")</f>
        <v/>
      </c>
      <c r="D6" s="5">
        <f>IFERROR(VLOOKUP($A6,测试用例集!$A:$M,10,FALSE),"")</f>
        <v/>
      </c>
      <c r="E6" s="5">
        <f>IFERROR(VLOOKUP($A6,测试用例集!$A:$M,11,FALSE),"")</f>
        <v/>
      </c>
      <c r="F6" s="6">
        <f>IFERROR(VLOOKUP($A6,测试用例集!$A:$M,12,FALSE),"")</f>
        <v/>
      </c>
      <c r="G6" s="7" t="n">
        <v>3</v>
      </c>
      <c r="H6" s="8" t="inlineStr">
        <is>
          <t>无效</t>
        </is>
      </c>
      <c r="I6" s="8" t="inlineStr">
        <is>
          <t>—</t>
        </is>
      </c>
      <c r="J6" s="3">
        <f>IF(OR($G6="",$H6=""),"待测",IF(AND(ISNUMBER(SEARCH($H6,$C6)),IF($D6="",TRUE,$G6&gt;=$D6),IF($E6="",TRUE,$G6&lt;=$E6),OR($I6="是",$I6="—")),"通过","不通过"))</f>
        <v/>
      </c>
      <c r="K6" s="9" t="inlineStr"/>
    </row>
    <row r="7">
      <c r="A7" s="3" t="inlineStr">
        <is>
          <t>TC-06</t>
        </is>
      </c>
      <c r="B7" s="4">
        <f>IFERROR(VLOOKUP($A7,测试用例集!$A:$M,2,FALSE),"")</f>
        <v/>
      </c>
      <c r="C7" s="4">
        <f>IFERROR(VLOOKUP($A7,测试用例集!$A:$M,9,FALSE),"")</f>
        <v/>
      </c>
      <c r="D7" s="5">
        <f>IFERROR(VLOOKUP($A7,测试用例集!$A:$M,10,FALSE),"")</f>
        <v/>
      </c>
      <c r="E7" s="5">
        <f>IFERROR(VLOOKUP($A7,测试用例集!$A:$M,11,FALSE),"")</f>
        <v/>
      </c>
      <c r="F7" s="6">
        <f>IFERROR(VLOOKUP($A7,测试用例集!$A:$M,12,FALSE),"")</f>
        <v/>
      </c>
      <c r="G7" s="7" t="n">
        <v>15</v>
      </c>
      <c r="H7" s="8" t="inlineStr">
        <is>
          <t>无效</t>
        </is>
      </c>
      <c r="I7" s="8" t="inlineStr">
        <is>
          <t>—</t>
        </is>
      </c>
      <c r="J7" s="3">
        <f>IF(OR($G7="",$H7=""),"待测",IF(AND(ISNUMBER(SEARCH($H7,$C7)),IF($D7="",TRUE,$G7&gt;=$D7),IF($E7="",TRUE,$G7&lt;=$E7),OR($I7="是",$I7="—")),"通过","不通过"))</f>
        <v/>
      </c>
      <c r="K7" s="9" t="inlineStr"/>
    </row>
    <row r="8">
      <c r="A8" s="3" t="inlineStr">
        <is>
          <t>TC-07</t>
        </is>
      </c>
      <c r="B8" s="4">
        <f>IFERROR(VLOOKUP($A8,测试用例集!$A:$M,2,FALSE),"")</f>
        <v/>
      </c>
      <c r="C8" s="4">
        <f>IFERROR(VLOOKUP($A8,测试用例集!$A:$M,9,FALSE),"")</f>
        <v/>
      </c>
      <c r="D8" s="5">
        <f>IFERROR(VLOOKUP($A8,测试用例集!$A:$M,10,FALSE),"")</f>
        <v/>
      </c>
      <c r="E8" s="5">
        <f>IFERROR(VLOOKUP($A8,测试用例集!$A:$M,11,FALSE),"")</f>
        <v/>
      </c>
      <c r="F8" s="6">
        <f>IFERROR(VLOOKUP($A8,测试用例集!$A:$M,12,FALSE),"")</f>
        <v/>
      </c>
      <c r="G8" s="7" t="n">
        <v>57</v>
      </c>
      <c r="H8" s="8" t="inlineStr">
        <is>
          <t>MQL</t>
        </is>
      </c>
      <c r="I8" s="8" t="inlineStr">
        <is>
          <t>—</t>
        </is>
      </c>
      <c r="J8" s="3">
        <f>IF(OR($G8="",$H8=""),"待测",IF(AND(ISNUMBER(SEARCH($H8,$C8)),IF($D8="",TRUE,$G8&gt;=$D8),IF($E8="",TRUE,$G8&lt;=$E8),OR($I8="是",$I8="—")),"通过","不通过"))</f>
        <v/>
      </c>
      <c r="K8" s="9" t="inlineStr"/>
    </row>
    <row r="9">
      <c r="A9" s="3" t="inlineStr">
        <is>
          <t>TC-08A</t>
        </is>
      </c>
      <c r="B9" s="4">
        <f>IFERROR(VLOOKUP($A9,测试用例集!$A:$M,2,FALSE),"")</f>
        <v/>
      </c>
      <c r="C9" s="4">
        <f>IFERROR(VLOOKUP($A9,测试用例集!$A:$M,9,FALSE),"")</f>
        <v/>
      </c>
      <c r="D9" s="5">
        <f>IFERROR(VLOOKUP($A9,测试用例集!$A:$M,10,FALSE),"")</f>
        <v/>
      </c>
      <c r="E9" s="5">
        <f>IFERROR(VLOOKUP($A9,测试用例集!$A:$M,11,FALSE),"")</f>
        <v/>
      </c>
      <c r="F9" s="6">
        <f>IFERROR(VLOOKUP($A9,测试用例集!$A:$M,12,FALSE),"")</f>
        <v/>
      </c>
      <c r="G9" s="7" t="n">
        <v>54</v>
      </c>
      <c r="H9" s="8" t="inlineStr">
        <is>
          <t>MQL</t>
        </is>
      </c>
      <c r="I9" s="8" t="inlineStr">
        <is>
          <t>—</t>
        </is>
      </c>
      <c r="J9" s="3">
        <f>IF(OR($G9="",$H9=""),"待测",IF(AND(ISNUMBER(SEARCH($H9,$C9)),IF($D9="",TRUE,$G9&gt;=$D9),IF($E9="",TRUE,$G9&lt;=$E9),OR($I9="是",$I9="—")),"通过","不通过"))</f>
        <v/>
      </c>
      <c r="K9" s="9" t="inlineStr"/>
    </row>
    <row r="10">
      <c r="A10" s="3" t="inlineStr">
        <is>
          <t>TC-08B</t>
        </is>
      </c>
      <c r="B10" s="4">
        <f>IFERROR(VLOOKUP($A10,测试用例集!$A:$M,2,FALSE),"")</f>
        <v/>
      </c>
      <c r="C10" s="4">
        <f>IFERROR(VLOOKUP($A10,测试用例集!$A:$M,9,FALSE),"")</f>
        <v/>
      </c>
      <c r="D10" s="5">
        <f>IFERROR(VLOOKUP($A10,测试用例集!$A:$M,10,FALSE),"")</f>
        <v/>
      </c>
      <c r="E10" s="5">
        <f>IFERROR(VLOOKUP($A10,测试用例集!$A:$M,11,FALSE),"")</f>
        <v/>
      </c>
      <c r="F10" s="6">
        <f>IFERROR(VLOOKUP($A10,测试用例集!$A:$M,12,FALSE),"")</f>
        <v/>
      </c>
      <c r="G10" s="7" t="n">
        <v>68</v>
      </c>
      <c r="H10" s="8" t="inlineStr">
        <is>
          <t>SQL</t>
        </is>
      </c>
      <c r="I10" s="8" t="inlineStr">
        <is>
          <t>—</t>
        </is>
      </c>
      <c r="J10" s="3">
        <f>IF(OR($G10="",$H10=""),"待测",IF(AND(ISNUMBER(SEARCH($H10,$C10)),IF($D10="",TRUE,$G10&gt;=$D10),IF($E10="",TRUE,$G10&lt;=$E10),OR($I10="是",$I10="—")),"通过","不通过"))</f>
        <v/>
      </c>
      <c r="K10" s="9" t="inlineStr"/>
    </row>
    <row r="11">
      <c r="A11" s="3" t="inlineStr">
        <is>
          <t>TC-09</t>
        </is>
      </c>
      <c r="B11" s="4">
        <f>IFERROR(VLOOKUP($A11,测试用例集!$A:$M,2,FALSE),"")</f>
        <v/>
      </c>
      <c r="C11" s="4">
        <f>IFERROR(VLOOKUP($A11,测试用例集!$A:$M,9,FALSE),"")</f>
        <v/>
      </c>
      <c r="D11" s="5">
        <f>IFERROR(VLOOKUP($A11,测试用例集!$A:$M,10,FALSE),"")</f>
        <v/>
      </c>
      <c r="E11" s="5">
        <f>IFERROR(VLOOKUP($A11,测试用例集!$A:$M,11,FALSE),"")</f>
        <v/>
      </c>
      <c r="F11" s="6">
        <f>IFERROR(VLOOKUP($A11,测试用例集!$A:$M,12,FALSE),"")</f>
        <v/>
      </c>
      <c r="G11" s="7" t="n">
        <v>96</v>
      </c>
      <c r="H11" s="8" t="inlineStr">
        <is>
          <t>SQL</t>
        </is>
      </c>
      <c r="I11" s="8" t="inlineStr">
        <is>
          <t>—</t>
        </is>
      </c>
      <c r="J11" s="3">
        <f>IF(OR($G11="",$H11=""),"待测",IF(AND(ISNUMBER(SEARCH($H11,$C11)),IF($D11="",TRUE,$G11&gt;=$D11),IF($E11="",TRUE,$G11&lt;=$E11),OR($I11="是",$I11="—")),"通过","不通过"))</f>
        <v/>
      </c>
      <c r="K11" s="9" t="inlineStr"/>
    </row>
    <row r="12">
      <c r="A12" s="3" t="inlineStr">
        <is>
          <t>TC-10A</t>
        </is>
      </c>
      <c r="B12" s="4">
        <f>IFERROR(VLOOKUP($A12,测试用例集!$A:$M,2,FALSE),"")</f>
        <v/>
      </c>
      <c r="C12" s="4">
        <f>IFERROR(VLOOKUP($A12,测试用例集!$A:$M,9,FALSE),"")</f>
        <v/>
      </c>
      <c r="D12" s="5">
        <f>IFERROR(VLOOKUP($A12,测试用例集!$A:$M,10,FALSE),"")</f>
        <v/>
      </c>
      <c r="E12" s="5">
        <f>IFERROR(VLOOKUP($A12,测试用例集!$A:$M,11,FALSE),"")</f>
        <v/>
      </c>
      <c r="F12" s="6">
        <f>IFERROR(VLOOKUP($A12,测试用例集!$A:$M,12,FALSE),"")</f>
        <v/>
      </c>
      <c r="G12" s="7" t="n">
        <v>54</v>
      </c>
      <c r="H12" s="8" t="inlineStr">
        <is>
          <t>MQL</t>
        </is>
      </c>
      <c r="I12" s="8" t="inlineStr">
        <is>
          <t>—</t>
        </is>
      </c>
      <c r="J12" s="3">
        <f>IF(OR($G12="",$H12=""),"待测",IF(AND(ISNUMBER(SEARCH($H12,$C12)),IF($D12="",TRUE,$G12&gt;=$D12),IF($E12="",TRUE,$G12&lt;=$E12),OR($I12="是",$I12="—")),"通过","不通过"))</f>
        <v/>
      </c>
      <c r="K12" s="9" t="inlineStr"/>
    </row>
    <row r="13">
      <c r="A13" s="3" t="inlineStr">
        <is>
          <t>TC-10B</t>
        </is>
      </c>
      <c r="B13" s="4">
        <f>IFERROR(VLOOKUP($A13,测试用例集!$A:$M,2,FALSE),"")</f>
        <v/>
      </c>
      <c r="C13" s="4">
        <f>IFERROR(VLOOKUP($A13,测试用例集!$A:$M,9,FALSE),"")</f>
        <v/>
      </c>
      <c r="D13" s="5">
        <f>IFERROR(VLOOKUP($A13,测试用例集!$A:$M,10,FALSE),"")</f>
        <v/>
      </c>
      <c r="E13" s="5">
        <f>IFERROR(VLOOKUP($A13,测试用例集!$A:$M,11,FALSE),"")</f>
        <v/>
      </c>
      <c r="F13" s="6">
        <f>IFERROR(VLOOKUP($A13,测试用例集!$A:$M,12,FALSE),"")</f>
        <v/>
      </c>
      <c r="G13" s="7" t="n">
        <v>3</v>
      </c>
      <c r="H13" s="8" t="inlineStr">
        <is>
          <t>无效</t>
        </is>
      </c>
      <c r="I13" s="8" t="inlineStr">
        <is>
          <t>—</t>
        </is>
      </c>
      <c r="J13" s="3">
        <f>IF(OR($G13="",$H13=""),"待测",IF(AND(ISNUMBER(SEARCH($H13,$C13)),IF($D13="",TRUE,$G13&gt;=$D13),IF($E13="",TRUE,$G13&lt;=$E13),OR($I13="是",$I13="—")),"通过","不通过"))</f>
        <v/>
      </c>
      <c r="K13" s="9" t="inlineStr">
        <is>
          <t>R1 基线未过（9 分），已按盲区修复后复测通过</t>
        </is>
      </c>
    </row>
    <row r="14">
      <c r="A14" s="3" t="inlineStr">
        <is>
          <t>TC-11</t>
        </is>
      </c>
      <c r="B14" s="4">
        <f>IFERROR(VLOOKUP($A14,测试用例集!$A:$M,2,FALSE),"")</f>
        <v/>
      </c>
      <c r="C14" s="4">
        <f>IFERROR(VLOOKUP($A14,测试用例集!$A:$M,9,FALSE),"")</f>
        <v/>
      </c>
      <c r="D14" s="5">
        <f>IFERROR(VLOOKUP($A14,测试用例集!$A:$M,10,FALSE),"")</f>
        <v/>
      </c>
      <c r="E14" s="5">
        <f>IFERROR(VLOOKUP($A14,测试用例集!$A:$M,11,FALSE),"")</f>
        <v/>
      </c>
      <c r="F14" s="6">
        <f>IFERROR(VLOOKUP($A14,测试用例集!$A:$M,12,FALSE),"")</f>
        <v/>
      </c>
      <c r="G14" s="7" t="n">
        <v>49</v>
      </c>
      <c r="H14" s="8" t="inlineStr">
        <is>
          <t>MQL</t>
        </is>
      </c>
      <c r="I14" s="8" t="inlineStr">
        <is>
          <t>—</t>
        </is>
      </c>
      <c r="J14" s="3">
        <f>IF(OR($G14="",$H14=""),"待测",IF(AND(ISNUMBER(SEARCH($H14,$C14)),IF($D14="",TRUE,$G14&gt;=$D14),IF($E14="",TRUE,$G14&lt;=$E14),OR($I14="是",$I14="—")),"通过","不通过"))</f>
        <v/>
      </c>
      <c r="K14" s="9" t="inlineStr"/>
    </row>
    <row r="15">
      <c r="A15" s="3" t="inlineStr">
        <is>
          <t>TC-12</t>
        </is>
      </c>
      <c r="B15" s="4">
        <f>IFERROR(VLOOKUP($A15,测试用例集!$A:$M,2,FALSE),"")</f>
        <v/>
      </c>
      <c r="C15" s="4">
        <f>IFERROR(VLOOKUP($A15,测试用例集!$A:$M,9,FALSE),"")</f>
        <v/>
      </c>
      <c r="D15" s="5">
        <f>IFERROR(VLOOKUP($A15,测试用例集!$A:$M,10,FALSE),"")</f>
        <v/>
      </c>
      <c r="E15" s="5">
        <f>IFERROR(VLOOKUP($A15,测试用例集!$A:$M,11,FALSE),"")</f>
        <v/>
      </c>
      <c r="F15" s="6">
        <f>IFERROR(VLOOKUP($A15,测试用例集!$A:$M,12,FALSE),"")</f>
        <v/>
      </c>
      <c r="G15" s="7" t="n">
        <v>3</v>
      </c>
      <c r="H15" s="8" t="inlineStr">
        <is>
          <t>无效</t>
        </is>
      </c>
      <c r="I15" s="8" t="inlineStr">
        <is>
          <t>—</t>
        </is>
      </c>
      <c r="J15" s="3">
        <f>IF(OR($G15="",$H15=""),"待测",IF(AND(ISNUMBER(SEARCH($H15,$C15)),IF($D15="",TRUE,$G15&gt;=$D15),IF($E15="",TRUE,$G15&lt;=$E15),OR($I15="是",$I15="—")),"通过","不通过"))</f>
        <v/>
      </c>
      <c r="K15" s="9" t="inlineStr">
        <is>
          <t>R1 基线未过（9 分），已按盲区修复后复测通过</t>
        </is>
      </c>
    </row>
    <row r="16">
      <c r="A16" s="3" t="inlineStr">
        <is>
          <t>TC-13</t>
        </is>
      </c>
      <c r="B16" s="4">
        <f>IFERROR(VLOOKUP($A16,测试用例集!$A:$M,2,FALSE),"")</f>
        <v/>
      </c>
      <c r="C16" s="4">
        <f>IFERROR(VLOOKUP($A16,测试用例集!$A:$M,9,FALSE),"")</f>
        <v/>
      </c>
      <c r="D16" s="5">
        <f>IFERROR(VLOOKUP($A16,测试用例集!$A:$M,10,FALSE),"")</f>
        <v/>
      </c>
      <c r="E16" s="5">
        <f>IFERROR(VLOOKUP($A16,测试用例集!$A:$M,11,FALSE),"")</f>
        <v/>
      </c>
      <c r="F16" s="6">
        <f>IFERROR(VLOOKUP($A16,测试用例集!$A:$M,12,FALSE),"")</f>
        <v/>
      </c>
      <c r="G16" s="7" t="n">
        <v>0</v>
      </c>
      <c r="H16" s="8" t="inlineStr">
        <is>
          <t>拦截</t>
        </is>
      </c>
      <c r="I16" s="8" t="inlineStr">
        <is>
          <t>—</t>
        </is>
      </c>
      <c r="J16" s="3">
        <f>IF(OR($G16="",$H16=""),"待测",IF(AND(ISNUMBER(SEARCH($H16,$C16)),IF($D16="",TRUE,$G16&gt;=$D16),IF($E16="",TRUE,$G16&lt;=$E16),OR($I16="是",$I16="—")),"通过","不通过"))</f>
        <v/>
      </c>
      <c r="K16" s="9" t="inlineStr">
        <is>
          <t>未进入工作流（必填校验拦截）</t>
        </is>
      </c>
    </row>
    <row r="17">
      <c r="A17" s="3" t="inlineStr">
        <is>
          <t>TC-14</t>
        </is>
      </c>
      <c r="B17" s="4">
        <f>IFERROR(VLOOKUP($A17,测试用例集!$A:$M,2,FALSE),"")</f>
        <v/>
      </c>
      <c r="C17" s="4">
        <f>IFERROR(VLOOKUP($A17,测试用例集!$A:$M,9,FALSE),"")</f>
        <v/>
      </c>
      <c r="D17" s="5">
        <f>IFERROR(VLOOKUP($A17,测试用例集!$A:$M,10,FALSE),"")</f>
        <v/>
      </c>
      <c r="E17" s="5">
        <f>IFERROR(VLOOKUP($A17,测试用例集!$A:$M,11,FALSE),"")</f>
        <v/>
      </c>
      <c r="F17" s="6">
        <f>IFERROR(VLOOKUP($A17,测试用例集!$A:$M,12,FALSE),"")</f>
        <v/>
      </c>
      <c r="G17" s="7" t="n">
        <v>20</v>
      </c>
      <c r="H17" s="8" t="inlineStr">
        <is>
          <t>无效</t>
        </is>
      </c>
      <c r="I17" s="8" t="inlineStr">
        <is>
          <t>—</t>
        </is>
      </c>
      <c r="J17" s="3">
        <f>IF(OR($G17="",$H17=""),"待测",IF(AND(ISNUMBER(SEARCH($H17,$C17)),IF($D17="",TRUE,$G17&gt;=$D17),IF($E17="",TRUE,$G17&lt;=$E17),OR($I17="是",$I17="—")),"通过","不通过"))</f>
        <v/>
      </c>
      <c r="K17" s="9" t="inlineStr"/>
    </row>
    <row r="18">
      <c r="A18" s="3" t="inlineStr">
        <is>
          <t>TC-15</t>
        </is>
      </c>
      <c r="B18" s="4">
        <f>IFERROR(VLOOKUP($A18,测试用例集!$A:$M,2,FALSE),"")</f>
        <v/>
      </c>
      <c r="C18" s="4">
        <f>IFERROR(VLOOKUP($A18,测试用例集!$A:$M,9,FALSE),"")</f>
        <v/>
      </c>
      <c r="D18" s="5">
        <f>IFERROR(VLOOKUP($A18,测试用例集!$A:$M,10,FALSE),"")</f>
        <v/>
      </c>
      <c r="E18" s="5">
        <f>IFERROR(VLOOKUP($A18,测试用例集!$A:$M,11,FALSE),"")</f>
        <v/>
      </c>
      <c r="F18" s="6">
        <f>IFERROR(VLOOKUP($A18,测试用例集!$A:$M,12,FALSE),"")</f>
        <v/>
      </c>
      <c r="G18" s="7" t="n">
        <v>71</v>
      </c>
      <c r="H18" s="8" t="inlineStr">
        <is>
          <t>SQL</t>
        </is>
      </c>
      <c r="I18" s="8" t="inlineStr">
        <is>
          <t>—</t>
        </is>
      </c>
      <c r="J18" s="3">
        <f>IF(OR($G18="",$H18=""),"待测",IF(AND(ISNUMBER(SEARCH($H18,$C18)),IF($D18="",TRUE,$G18&gt;=$D18),IF($E18="",TRUE,$G18&lt;=$E18),OR($I18="是",$I18="—")),"通过","不通过"))</f>
        <v/>
      </c>
      <c r="K18" s="9" t="inlineStr"/>
    </row>
    <row r="19">
      <c r="A19" s="3" t="inlineStr">
        <is>
          <t>TC-16</t>
        </is>
      </c>
      <c r="B19" s="4">
        <f>IFERROR(VLOOKUP($A19,测试用例集!$A:$M,2,FALSE),"")</f>
        <v/>
      </c>
      <c r="C19" s="4">
        <f>IFERROR(VLOOKUP($A19,测试用例集!$A:$M,9,FALSE),"")</f>
        <v/>
      </c>
      <c r="D19" s="5">
        <f>IFERROR(VLOOKUP($A19,测试用例集!$A:$M,10,FALSE),"")</f>
        <v/>
      </c>
      <c r="E19" s="5">
        <f>IFERROR(VLOOKUP($A19,测试用例集!$A:$M,11,FALSE),"")</f>
        <v/>
      </c>
      <c r="F19" s="6">
        <f>IFERROR(VLOOKUP($A19,测试用例集!$A:$M,12,FALSE),"")</f>
        <v/>
      </c>
      <c r="G19" s="7" t="n">
        <v>77</v>
      </c>
      <c r="H19" s="8" t="inlineStr">
        <is>
          <t>SQL</t>
        </is>
      </c>
      <c r="I19" s="8" t="inlineStr">
        <is>
          <t>是</t>
        </is>
      </c>
      <c r="J19" s="3">
        <f>IF(OR($G19="",$H19=""),"待测",IF(AND(ISNUMBER(SEARCH($H19,$C19)),IF($D19="",TRUE,$G19&gt;=$D19),IF($E19="",TRUE,$G19&lt;=$E19),OR($I19="是",$I19="—")),"通过","不通过"))</f>
        <v/>
      </c>
      <c r="K19" s="9" t="inlineStr"/>
    </row>
    <row r="20">
      <c r="A20" s="3" t="inlineStr">
        <is>
          <t>TC-17</t>
        </is>
      </c>
      <c r="B20" s="4">
        <f>IFERROR(VLOOKUP($A20,测试用例集!$A:$M,2,FALSE),"")</f>
        <v/>
      </c>
      <c r="C20" s="4">
        <f>IFERROR(VLOOKUP($A20,测试用例集!$A:$M,9,FALSE),"")</f>
        <v/>
      </c>
      <c r="D20" s="5">
        <f>IFERROR(VLOOKUP($A20,测试用例集!$A:$M,10,FALSE),"")</f>
        <v/>
      </c>
      <c r="E20" s="5">
        <f>IFERROR(VLOOKUP($A20,测试用例集!$A:$M,11,FALSE),"")</f>
        <v/>
      </c>
      <c r="F20" s="6">
        <f>IFERROR(VLOOKUP($A20,测试用例集!$A:$M,12,FALSE),"")</f>
        <v/>
      </c>
      <c r="G20" s="7" t="n">
        <v>50</v>
      </c>
      <c r="H20" s="8" t="inlineStr">
        <is>
          <t>MQL</t>
        </is>
      </c>
      <c r="I20" s="8" t="inlineStr">
        <is>
          <t>是</t>
        </is>
      </c>
      <c r="J20" s="3">
        <f>IF(OR($G20="",$H20=""),"待测",IF(AND(ISNUMBER(SEARCH($H20,$C20)),IF($D20="",TRUE,$G20&gt;=$D20),IF($E20="",TRUE,$G20&lt;=$E20),OR($I20="是",$I20="—")),"通过","不通过"))</f>
        <v/>
      </c>
      <c r="K20" s="9" t="inlineStr">
        <is>
          <t>意图解析兜底生效</t>
        </is>
      </c>
    </row>
    <row r="21">
      <c r="A21" s="3" t="inlineStr">
        <is>
          <t>TC-18</t>
        </is>
      </c>
      <c r="B21" s="4">
        <f>IFERROR(VLOOKUP($A21,测试用例集!$A:$M,2,FALSE),"")</f>
        <v/>
      </c>
      <c r="C21" s="4">
        <f>IFERROR(VLOOKUP($A21,测试用例集!$A:$M,9,FALSE),"")</f>
        <v/>
      </c>
      <c r="D21" s="5">
        <f>IFERROR(VLOOKUP($A21,测试用例集!$A:$M,10,FALSE),"")</f>
        <v/>
      </c>
      <c r="E21" s="5">
        <f>IFERROR(VLOOKUP($A21,测试用例集!$A:$M,11,FALSE),"")</f>
        <v/>
      </c>
      <c r="F21" s="6">
        <f>IFERROR(VLOOKUP($A21,测试用例集!$A:$M,12,FALSE),"")</f>
        <v/>
      </c>
      <c r="G21" s="7" t="n">
        <v>78</v>
      </c>
      <c r="H21" s="8" t="inlineStr">
        <is>
          <t>SQL</t>
        </is>
      </c>
      <c r="I21" s="8" t="inlineStr">
        <is>
          <t>是</t>
        </is>
      </c>
      <c r="J21" s="3">
        <f>IF(OR($G21="",$H21=""),"待测",IF(AND(ISNUMBER(SEARCH($H21,$C21)),IF($D21="",TRUE,$G21&gt;=$D21),IF($E21="",TRUE,$G21&lt;=$E21),OR($I21="是",$I21="—")),"通过","不通过"))</f>
        <v/>
      </c>
      <c r="K21" s="9" t="inlineStr"/>
    </row>
    <row r="23">
      <c r="A23" s="10" t="inlineStr">
        <is>
          <t>统计</t>
        </is>
      </c>
      <c r="B23" s="10" t="inlineStr">
        <is>
          <t>条数</t>
        </is>
      </c>
      <c r="C23" s="10" t="inlineStr">
        <is>
          <t>口径</t>
        </is>
      </c>
    </row>
    <row r="24">
      <c r="A24" s="11" t="inlineStr">
        <is>
          <t>通过</t>
        </is>
      </c>
      <c r="B24" s="12">
        <f>COUNTIF($J$2:$J$21,"通过")</f>
        <v/>
      </c>
      <c r="C24" s="13" t="inlineStr">
        <is>
          <t>等级命中 + 分数在区间 + 关键词命中</t>
        </is>
      </c>
    </row>
    <row r="25">
      <c r="A25" s="11" t="inlineStr">
        <is>
          <t>不通过</t>
        </is>
      </c>
      <c r="B25" s="12">
        <f>COUNTIF($J$2:$J$21,"不通过")</f>
        <v/>
      </c>
      <c r="C25" s="13" t="inlineStr">
        <is>
          <t>任一判定条件未满足</t>
        </is>
      </c>
    </row>
    <row r="26">
      <c r="A26" s="11" t="inlineStr">
        <is>
          <t>待测</t>
        </is>
      </c>
      <c r="B26" s="12">
        <f>COUNTIF($J$2:$J$21,"待测")</f>
        <v/>
      </c>
      <c r="C26" s="13" t="inlineStr">
        <is>
          <t>实际总分或实际等级未填</t>
        </is>
      </c>
    </row>
    <row r="27">
      <c r="A27" s="11" t="inlineStr">
        <is>
          <t>通过率</t>
        </is>
      </c>
      <c r="B27" s="14">
        <f>IF(COUNTA($J$2:$J$21)=0,"",COUNTIF($J$2:$J$21,"通过")/COUNTA($J$2:$J$21))</f>
        <v/>
      </c>
      <c r="C27" s="13" t="inlineStr">
        <is>
          <t>通过条数 ÷ 用例总数（目标 100%）</t>
        </is>
      </c>
    </row>
  </sheetData>
  <autoFilter ref="A1:K21"/>
  <conditionalFormatting sqref="J2:J21">
    <cfRule type="cellIs" priority="1" operator="equal" dxfId="0">
      <formula>"通过"</formula>
    </cfRule>
    <cfRule type="cellIs" priority="2" operator="equal" dxfId="1">
      <formula>"不通过"</formula>
    </cfRule>
    <cfRule type="cellIs" priority="3" operator="equal" dxfId="2">
      <formula>"待测"</formula>
    </cfRule>
  </conditionalFormatting>
  <dataValidations count="2">
    <dataValidation sqref="H2:H21" showDropDown="0" showInputMessage="0" showErrorMessage="0" allowBlank="1" error="请选择：SQL / MQL / 无效 / 拦截" type="list">
      <formula1>"SQL,MQL,无效,拦截"</formula1>
    </dataValidation>
    <dataValidation sqref="I2:I21" showDropDown="0" showInputMessage="0" showErrorMessage="0" allowBlank="1" error="请选择：是 / 否 / —（不适用）" type="list">
      <formula1>"是,否,—"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20" customWidth="1" min="3" max="3"/>
    <col width="12" customWidth="1" min="4" max="4"/>
    <col width="11" customWidth="1" min="5" max="5"/>
    <col width="15" customWidth="1" min="6" max="6"/>
    <col width="30" customWidth="1" min="7" max="7"/>
    <col width="40" customWidth="1" min="8" max="8"/>
    <col width="10" customWidth="1" min="9" max="9"/>
    <col width="11" customWidth="1" min="10" max="10"/>
    <col width="11" customWidth="1" min="11" max="11"/>
    <col width="40" customWidth="1" min="12" max="12"/>
    <col width="40" customWidth="1" min="13" max="13"/>
  </cols>
  <sheetData>
    <row r="1">
      <c r="A1" s="1" t="inlineStr">
        <is>
          <t>用例编号</t>
        </is>
      </c>
      <c r="B1" s="1" t="inlineStr">
        <is>
          <t>层次</t>
        </is>
      </c>
      <c r="C1" s="1" t="inlineStr">
        <is>
          <t>用例名称</t>
        </is>
      </c>
      <c r="D1" s="1" t="inlineStr">
        <is>
          <t>行业</t>
        </is>
      </c>
      <c r="E1" s="1" t="inlineStr">
        <is>
          <t>公司规模</t>
        </is>
      </c>
      <c r="F1" s="1" t="inlineStr">
        <is>
          <t>岗位</t>
        </is>
      </c>
      <c r="G1" s="1" t="inlineStr">
        <is>
          <t>近期行为</t>
        </is>
      </c>
      <c r="H1" s="1" t="inlineStr">
        <is>
          <t>客户留言</t>
        </is>
      </c>
      <c r="I1" s="1" t="inlineStr">
        <is>
          <t>预期等级</t>
        </is>
      </c>
      <c r="J1" s="1" t="inlineStr">
        <is>
          <t>预期总分下限</t>
        </is>
      </c>
      <c r="K1" s="1" t="inlineStr">
        <is>
          <t>预期总分上限</t>
        </is>
      </c>
      <c r="L1" s="1" t="inlineStr">
        <is>
          <t>关键校验点</t>
        </is>
      </c>
      <c r="M1" s="1" t="inlineStr">
        <is>
          <t>设计理由</t>
        </is>
      </c>
    </row>
    <row r="2">
      <c r="A2" s="3" t="inlineStr">
        <is>
          <t>TC-01</t>
        </is>
      </c>
      <c r="B2" s="3" t="inlineStr">
        <is>
          <t>正常</t>
        </is>
      </c>
      <c r="C2" s="13" t="inlineStr">
        <is>
          <t>高分线索判 SQL</t>
        </is>
      </c>
      <c r="D2" s="13" t="inlineStr">
        <is>
          <t>制造业</t>
        </is>
      </c>
      <c r="E2" s="13" t="inlineStr">
        <is>
          <t>500人以上</t>
        </is>
      </c>
      <c r="F2" s="13" t="inlineStr">
        <is>
          <t>IT负责人/技术总监</t>
        </is>
      </c>
      <c r="G2" s="13" t="inlineStr">
        <is>
          <t>打开报价邮件、访问集成对接页</t>
        </is>
      </c>
      <c r="H2" s="13" t="inlineStr">
        <is>
          <t>我们旧CRM想嵌AI评分，支持API对接吗？</t>
        </is>
      </c>
      <c r="I2" s="3" t="inlineStr">
        <is>
          <t>SQL</t>
        </is>
      </c>
      <c r="J2" s="15" t="n">
        <v>85</v>
      </c>
      <c r="K2" s="15" t="n">
        <v>95</v>
      </c>
      <c r="L2" s="13" t="inlineStr">
        <is>
          <t>话术必须出现「API」或「集成」；标签=集成需求</t>
        </is>
      </c>
      <c r="M2" s="13" t="inlineStr">
        <is>
          <t>验证最高档意图（集成需求）是否生效，SQL 支线 RAG 检索与话术生成是否跑通</t>
        </is>
      </c>
    </row>
    <row r="3">
      <c r="A3" s="3" t="inlineStr">
        <is>
          <t>TC-02</t>
        </is>
      </c>
      <c r="B3" s="3" t="inlineStr">
        <is>
          <t>正常</t>
        </is>
      </c>
      <c r="C3" s="13" t="inlineStr">
        <is>
          <t>询价+约演示判 SQL</t>
        </is>
      </c>
      <c r="D3" s="13" t="inlineStr">
        <is>
          <t>软件/互联网</t>
        </is>
      </c>
      <c r="E3" s="13" t="inlineStr">
        <is>
          <t>100-499人</t>
        </is>
      </c>
      <c r="F3" s="13" t="inlineStr">
        <is>
          <t>采购/商务负责人</t>
        </is>
      </c>
      <c r="G3" s="13" t="inlineStr">
        <is>
          <t>预约产品演示</t>
        </is>
      </c>
      <c r="H3" s="13" t="inlineStr">
        <is>
          <t>想约个演示，顺便问下报价</t>
        </is>
      </c>
      <c r="I3" s="3" t="inlineStr">
        <is>
          <t>SQL</t>
        </is>
      </c>
      <c r="J3" s="15" t="n">
        <v>70</v>
      </c>
      <c r="K3" s="15" t="n">
        <v>85</v>
      </c>
      <c r="L3" s="13" t="inlineStr">
        <is>
          <t>标签属于{价格咨询,演示试用}；建议四段小标题齐全</t>
        </is>
      </c>
      <c r="M3" s="13" t="inlineStr">
        <is>
          <t>验证中高意图识别，以及多意图并存时取最高档</t>
        </is>
      </c>
    </row>
    <row r="4">
      <c r="A4" s="3" t="inlineStr">
        <is>
          <t>TC-03</t>
        </is>
      </c>
      <c r="B4" s="3" t="inlineStr">
        <is>
          <t>正常</t>
        </is>
      </c>
      <c r="C4" s="13" t="inlineStr">
        <is>
          <t>弱画像弱行为判 MQL</t>
        </is>
      </c>
      <c r="D4" s="13" t="inlineStr">
        <is>
          <t>金融</t>
        </is>
      </c>
      <c r="E4" s="13" t="inlineStr">
        <is>
          <t>20-99人</t>
        </is>
      </c>
      <c r="F4" s="13" t="inlineStr">
        <is>
          <t>普通员工</t>
        </is>
      </c>
      <c r="G4" s="13" t="inlineStr">
        <is>
          <t>下载白皮书</t>
        </is>
      </c>
      <c r="H4" s="13" t="inlineStr">
        <is>
          <t>想了解一下你们的产品功能</t>
        </is>
      </c>
      <c r="I4" s="3" t="inlineStr">
        <is>
          <t>MQL</t>
        </is>
      </c>
      <c r="J4" s="15" t="n">
        <v>38</v>
      </c>
      <c r="K4" s="15" t="n">
        <v>50</v>
      </c>
      <c r="L4" s="13" t="inlineStr">
        <is>
          <t>不得越级为 SQL；出口含培育方案</t>
        </is>
      </c>
      <c r="M4" s="13" t="inlineStr">
        <is>
          <t>检验弱画像+弱行为组合是否正确落入培育池</t>
        </is>
      </c>
    </row>
    <row r="5">
      <c r="A5" s="3" t="inlineStr">
        <is>
          <t>TC-04</t>
        </is>
      </c>
      <c r="B5" s="3" t="inlineStr">
        <is>
          <t>正常</t>
        </is>
      </c>
      <c r="C5" s="13" t="inlineStr">
        <is>
          <t>MQL 培育方案完整</t>
        </is>
      </c>
      <c r="D5" s="13" t="inlineStr">
        <is>
          <t>教育</t>
        </is>
      </c>
      <c r="E5" s="13" t="inlineStr">
        <is>
          <t>20-99人</t>
        </is>
      </c>
      <c r="F5" s="13" t="inlineStr">
        <is>
          <t>销售/市场负责人</t>
        </is>
      </c>
      <c r="G5" s="13" t="inlineStr">
        <is>
          <t>下载白皮书</t>
        </is>
      </c>
      <c r="H5" s="13" t="inlineStr">
        <is>
          <t>看看有没有合适的方案，先了解下</t>
        </is>
      </c>
      <c r="I5" s="3" t="inlineStr">
        <is>
          <t>MQL</t>
        </is>
      </c>
      <c r="J5" s="15" t="n">
        <v>33</v>
      </c>
      <c r="K5" s="15" t="n">
        <v>45</v>
      </c>
      <c r="L5" s="13" t="inlineStr">
        <is>
          <t>nurture_plan 三要素齐全（推荐资料/触达文案/下次触达）</t>
        </is>
      </c>
      <c r="M5" s="13" t="inlineStr">
        <is>
          <t>验证 MQL 支线培育内容生成正常</t>
        </is>
      </c>
    </row>
    <row r="6">
      <c r="A6" s="3" t="inlineStr">
        <is>
          <t>TC-05</t>
        </is>
      </c>
      <c r="B6" s="3" t="inlineStr">
        <is>
          <t>正常</t>
        </is>
      </c>
      <c r="C6" s="13" t="inlineStr">
        <is>
          <t>学生线索自动过滤</t>
        </is>
      </c>
      <c r="D6" s="13" t="inlineStr">
        <is>
          <t>学生个人</t>
        </is>
      </c>
      <c r="E6" s="13" t="inlineStr">
        <is>
          <t>个人/无</t>
        </is>
      </c>
      <c r="F6" s="13" t="inlineStr">
        <is>
          <t>学生</t>
        </is>
      </c>
      <c r="G6" s="13" t="inlineStr"/>
      <c r="H6" s="13" t="inlineStr">
        <is>
          <t>写作业需要了解CRM</t>
        </is>
      </c>
      <c r="I6" s="3" t="inlineStr">
        <is>
          <t>无效</t>
        </is>
      </c>
      <c r="J6" s="15" t="n">
        <v>0</v>
      </c>
      <c r="K6" s="15" t="n">
        <v>5</v>
      </c>
      <c r="L6" s="13" t="inlineStr">
        <is>
          <t>filter_reason 有内容；不触发知识库检索与话术生成</t>
        </is>
      </c>
      <c r="M6" s="13" t="inlineStr">
        <is>
          <t>关键用例：负分行业+负分规模是否被夹紧到 0 且被拦截</t>
        </is>
      </c>
    </row>
    <row r="7">
      <c r="A7" s="3" t="inlineStr">
        <is>
          <t>TC-06</t>
        </is>
      </c>
      <c r="B7" s="3" t="inlineStr">
        <is>
          <t>正常</t>
        </is>
      </c>
      <c r="C7" s="13" t="inlineStr">
        <is>
          <t>未收录行业走默认分</t>
        </is>
      </c>
      <c r="D7" s="13" t="inlineStr">
        <is>
          <t>其他</t>
        </is>
      </c>
      <c r="E7" s="13" t="inlineStr">
        <is>
          <t>1-19人</t>
        </is>
      </c>
      <c r="F7" s="13" t="inlineStr">
        <is>
          <t>普通员工</t>
        </is>
      </c>
      <c r="G7" s="13" t="inlineStr"/>
      <c r="H7" s="13" t="inlineStr">
        <is>
          <t>随便看看</t>
        </is>
      </c>
      <c r="I7" s="3" t="inlineStr">
        <is>
          <t>无效</t>
        </is>
      </c>
      <c r="J7" s="15" t="n">
        <v>8</v>
      </c>
      <c r="K7" s="15" t="n">
        <v>20</v>
      </c>
      <c r="L7" s="13" t="inlineStr">
        <is>
          <t>流程不报错；属性分不因「其他」而异常</t>
        </is>
      </c>
      <c r="M7" s="13" t="inlineStr">
        <is>
          <t>验证不在字典里的行业值走默认分、不报错</t>
        </is>
      </c>
    </row>
    <row r="8">
      <c r="A8" s="3" t="inlineStr">
        <is>
          <t>TC-07</t>
        </is>
      </c>
      <c r="B8" s="3" t="inlineStr">
        <is>
          <t>边界</t>
        </is>
      </c>
      <c r="C8" s="13" t="inlineStr">
        <is>
          <t>卡在 60 分线上</t>
        </is>
      </c>
      <c r="D8" s="13" t="inlineStr">
        <is>
          <t>制造业</t>
        </is>
      </c>
      <c r="E8" s="13" t="inlineStr">
        <is>
          <t>100-499人</t>
        </is>
      </c>
      <c r="F8" s="13" t="inlineStr">
        <is>
          <t>IT负责人/技术总监</t>
        </is>
      </c>
      <c r="G8" s="13" t="inlineStr">
        <is>
          <t>下载白皮书</t>
        </is>
      </c>
      <c r="H8" s="13" t="inlineStr">
        <is>
          <t>想了解下功能细节</t>
        </is>
      </c>
      <c r="I8" s="3" t="inlineStr">
        <is>
          <t>SQL或MQL</t>
        </is>
      </c>
      <c r="J8" s="15" t="n">
        <v>55</v>
      </c>
      <c r="K8" s="15" t="n">
        <v>65</v>
      </c>
      <c r="L8" s="13" t="inlineStr">
        <is>
          <t>记录实际分数；同一条跑 3 次看等级是否跳变</t>
        </is>
      </c>
      <c r="M8" s="13" t="inlineStr">
        <is>
          <t>暴露阈值敏感区，为 60/30 阈值校准提供依据</t>
        </is>
      </c>
    </row>
    <row r="9">
      <c r="A9" s="3" t="inlineStr">
        <is>
          <t>TC-08A</t>
        </is>
      </c>
      <c r="B9" s="3" t="inlineStr">
        <is>
          <t>边界</t>
        </is>
      </c>
      <c r="C9" s="13" t="inlineStr">
        <is>
          <t>同画像对照组（弱意图）</t>
        </is>
      </c>
      <c r="D9" s="13" t="inlineStr">
        <is>
          <t>制造业</t>
        </is>
      </c>
      <c r="E9" s="13" t="inlineStr">
        <is>
          <t>100-499人</t>
        </is>
      </c>
      <c r="F9" s="13" t="inlineStr">
        <is>
          <t>采购/商务负责人</t>
        </is>
      </c>
      <c r="G9" s="13" t="inlineStr">
        <is>
          <t>下载白皮书</t>
        </is>
      </c>
      <c r="H9" s="13" t="inlineStr">
        <is>
          <t>想了解下功能</t>
        </is>
      </c>
      <c r="I9" s="3" t="inlineStr">
        <is>
          <t>MQL</t>
        </is>
      </c>
      <c r="J9" s="15" t="n">
        <v>52</v>
      </c>
      <c r="K9" s="15" t="n">
        <v>58</v>
      </c>
      <c r="L9" s="13" t="inlineStr">
        <is>
          <t>与 TC-08B 同画像；B 组总分应高出本组 ≥10 分</t>
        </is>
      </c>
      <c r="M9" s="13" t="inlineStr">
        <is>
          <t>检验意图分的区分度（只换一句留言，其余字段完全相同）</t>
        </is>
      </c>
    </row>
    <row r="10">
      <c r="A10" s="3" t="inlineStr">
        <is>
          <t>TC-08B</t>
        </is>
      </c>
      <c r="B10" s="3" t="inlineStr">
        <is>
          <t>边界</t>
        </is>
      </c>
      <c r="C10" s="13" t="inlineStr">
        <is>
          <t>同画像对照组（强意图）</t>
        </is>
      </c>
      <c r="D10" s="13" t="inlineStr">
        <is>
          <t>制造业</t>
        </is>
      </c>
      <c r="E10" s="13" t="inlineStr">
        <is>
          <t>100-499人</t>
        </is>
      </c>
      <c r="F10" s="13" t="inlineStr">
        <is>
          <t>采购/商务负责人</t>
        </is>
      </c>
      <c r="G10" s="13" t="inlineStr">
        <is>
          <t>下载白皮书</t>
        </is>
      </c>
      <c r="H10" s="13" t="inlineStr">
        <is>
          <t>支持API对接吗</t>
        </is>
      </c>
      <c r="I10" s="3" t="inlineStr">
        <is>
          <t>SQL</t>
        </is>
      </c>
      <c r="J10" s="15" t="n">
        <v>67</v>
      </c>
      <c r="K10" s="15" t="n">
        <v>72</v>
      </c>
      <c r="L10" s="13" t="inlineStr">
        <is>
          <t>与 TC-08A 比较：总分高出 ≥10 分且等级升为 SQL</t>
        </is>
      </c>
      <c r="M10" s="13" t="inlineStr">
        <is>
          <t>检验意图分的区分度（只换一句留言，其余字段完全相同）</t>
        </is>
      </c>
    </row>
    <row r="11">
      <c r="A11" s="3" t="inlineStr">
        <is>
          <t>TC-09</t>
        </is>
      </c>
      <c r="B11" s="3" t="inlineStr">
        <is>
          <t>边界</t>
        </is>
      </c>
      <c r="C11" s="13" t="inlineStr">
        <is>
          <t>行为分封顶 25</t>
        </is>
      </c>
      <c r="D11" s="13" t="inlineStr">
        <is>
          <t>软件/互联网</t>
        </is>
      </c>
      <c r="E11" s="13" t="inlineStr">
        <is>
          <t>500人以上</t>
        </is>
      </c>
      <c r="F11" s="13" t="inlineStr">
        <is>
          <t>IT负责人/技术总监</t>
        </is>
      </c>
      <c r="G11" s="13" t="inlineStr">
        <is>
          <t>预约产品演示、打开报价邮件、观看演示视频、访问集成对接页、下载白皮书、一周内多次访问官网</t>
        </is>
      </c>
      <c r="H11" s="13" t="inlineStr">
        <is>
          <t>想看下你们的集成方案，支持API吗</t>
        </is>
      </c>
      <c r="I11" s="3" t="inlineStr">
        <is>
          <t>SQL</t>
        </is>
      </c>
      <c r="J11" s="15" t="n">
        <v>88</v>
      </c>
      <c r="K11" s="15" t="n">
        <v>100</v>
      </c>
      <c r="L11" s="13" t="inlineStr">
        <is>
          <t>behavior_score 必须=25（原始相加为 70）；总分≤100</t>
        </is>
      </c>
      <c r="M11" s="13" t="inlineStr">
        <is>
          <t>验证行为分封顶逻辑生效，否则总分可能爆表</t>
        </is>
      </c>
    </row>
    <row r="12">
      <c r="A12" s="3" t="inlineStr">
        <is>
          <t>TC-10A</t>
        </is>
      </c>
      <c r="B12" s="3" t="inlineStr">
        <is>
          <t>边界</t>
        </is>
      </c>
      <c r="C12" s="13" t="inlineStr">
        <is>
          <t>属性分上限夹紧 45</t>
        </is>
      </c>
      <c r="D12" s="13" t="inlineStr">
        <is>
          <t>软件/互联网</t>
        </is>
      </c>
      <c r="E12" s="13" t="inlineStr">
        <is>
          <t>500人以上</t>
        </is>
      </c>
      <c r="F12" s="13" t="inlineStr">
        <is>
          <t>IT负责人/技术总监</t>
        </is>
      </c>
      <c r="G12" s="13" t="inlineStr"/>
      <c r="H12" s="13" t="inlineStr">
        <is>
          <t>咨询下产品</t>
        </is>
      </c>
      <c r="I12" s="3" t="inlineStr">
        <is>
          <t>MQL</t>
        </is>
      </c>
      <c r="J12" s="15" t="n">
        <v>50</v>
      </c>
      <c r="K12" s="15" t="n">
        <v>60</v>
      </c>
      <c r="L12" s="13" t="inlineStr">
        <is>
          <t>attribute_score 必须=45，不得超过</t>
        </is>
      </c>
      <c r="M12" s="13" t="inlineStr">
        <is>
          <t>验证属性分上限夹紧，防止单项极值把总分带偏</t>
        </is>
      </c>
    </row>
    <row r="13">
      <c r="A13" s="3" t="inlineStr">
        <is>
          <t>TC-10B</t>
        </is>
      </c>
      <c r="B13" s="3" t="inlineStr">
        <is>
          <t>边界</t>
        </is>
      </c>
      <c r="C13" s="13" t="inlineStr">
        <is>
          <t>属性分下限夹紧 0</t>
        </is>
      </c>
      <c r="D13" s="13" t="inlineStr">
        <is>
          <t>学生个人</t>
        </is>
      </c>
      <c r="E13" s="13" t="inlineStr">
        <is>
          <t>个人/无</t>
        </is>
      </c>
      <c r="F13" s="13" t="inlineStr">
        <is>
          <t>学生</t>
        </is>
      </c>
      <c r="G13" s="13" t="inlineStr"/>
      <c r="H13" s="13" t="inlineStr">
        <is>
          <t>老师让我们调研CRM产品</t>
        </is>
      </c>
      <c r="I13" s="3" t="inlineStr">
        <is>
          <t>无效</t>
        </is>
      </c>
      <c r="J13" s="15" t="n">
        <v>0</v>
      </c>
      <c r="K13" s="15" t="n">
        <v>6</v>
      </c>
      <c r="L13" s="13" t="inlineStr">
        <is>
          <t>attribute_score 必须=0（不能是 -25）</t>
        </is>
      </c>
      <c r="M13" s="13" t="inlineStr">
        <is>
          <t>验证负数被夹紧到 0，不污染总分与漏斗统计</t>
        </is>
      </c>
    </row>
    <row r="14">
      <c r="A14" s="3" t="inlineStr">
        <is>
          <t>TC-11</t>
        </is>
      </c>
      <c r="B14" s="3" t="inlineStr">
        <is>
          <t>边界</t>
        </is>
      </c>
      <c r="C14" s="13" t="inlineStr">
        <is>
          <t>行为词未命中字典</t>
        </is>
      </c>
      <c r="D14" s="13" t="inlineStr">
        <is>
          <t>制造业</t>
        </is>
      </c>
      <c r="E14" s="13" t="inlineStr">
        <is>
          <t>100-499人</t>
        </is>
      </c>
      <c r="F14" s="13" t="inlineStr">
        <is>
          <t>IT负责人/技术总监</t>
        </is>
      </c>
      <c r="G14" s="13" t="inlineStr">
        <is>
          <t>预约演示</t>
        </is>
      </c>
      <c r="H14" s="13" t="inlineStr">
        <is>
          <t>想了解下功能细节</t>
        </is>
      </c>
      <c r="I14" s="3" t="inlineStr">
        <is>
          <t>MQL</t>
        </is>
      </c>
      <c r="J14" s="15" t="n">
        <v>45</v>
      </c>
      <c r="K14" s="15" t="n">
        <v>55</v>
      </c>
      <c r="L14" s="13" t="inlineStr">
        <is>
          <t>behavior_score=0（行为词未命中字典）；应记为待修复的配置问题</t>
        </is>
      </c>
      <c r="M14" s="13" t="inlineStr">
        <is>
          <t>负向测试：故意用不匹配的行为词，主动挖出字典键与输入选项不一致的风险</t>
        </is>
      </c>
    </row>
    <row r="15">
      <c r="A15" s="3" t="inlineStr">
        <is>
          <t>TC-12</t>
        </is>
      </c>
      <c r="B15" s="3" t="inlineStr">
        <is>
          <t>边界</t>
        </is>
      </c>
      <c r="C15" s="13" t="inlineStr">
        <is>
          <t>学生伪装调研被拦</t>
        </is>
      </c>
      <c r="D15" s="13" t="inlineStr">
        <is>
          <t>学生个人</t>
        </is>
      </c>
      <c r="E15" s="13" t="inlineStr">
        <is>
          <t>1-19人</t>
        </is>
      </c>
      <c r="F15" s="13" t="inlineStr">
        <is>
          <t>学生</t>
        </is>
      </c>
      <c r="G15" s="13" t="inlineStr"/>
      <c r="H15" s="13" t="inlineStr">
        <is>
          <t>老师让我们调研一下CRM产品</t>
        </is>
      </c>
      <c r="I15" s="3" t="inlineStr">
        <is>
          <t>无效</t>
        </is>
      </c>
      <c r="J15" s="15" t="n">
        <v>0</v>
      </c>
      <c r="K15" s="15" t="n">
        <v>6</v>
      </c>
      <c r="L15" s="13" t="inlineStr">
        <is>
          <t>attribute_score=0；意图分&lt;5</t>
        </is>
      </c>
      <c r="M15" s="13" t="inlineStr">
        <is>
          <t>验证「调研」这类正经词不会把学生线索抬成 MQL</t>
        </is>
      </c>
    </row>
    <row r="16">
      <c r="A16" s="3" t="inlineStr">
        <is>
          <t>TC-13</t>
        </is>
      </c>
      <c r="B16" s="3" t="inlineStr">
        <is>
          <t>异常</t>
        </is>
      </c>
      <c r="C16" s="13" t="inlineStr">
        <is>
          <t>留言留空被校验拦下</t>
        </is>
      </c>
      <c r="D16" s="13" t="inlineStr">
        <is>
          <t>制造业</t>
        </is>
      </c>
      <c r="E16" s="13" t="inlineStr">
        <is>
          <t>100-499人</t>
        </is>
      </c>
      <c r="F16" s="13" t="inlineStr">
        <is>
          <t>IT负责人/技术总监</t>
        </is>
      </c>
      <c r="G16" s="13" t="inlineStr"/>
      <c r="H16" s="13" t="inlineStr"/>
      <c r="I16" s="3" t="inlineStr">
        <is>
          <t>拦截</t>
        </is>
      </c>
      <c r="J16" s="15" t="n">
        <v>0</v>
      </c>
      <c r="K16" s="15" t="n">
        <v>0</v>
      </c>
      <c r="L16" s="13" t="inlineStr">
        <is>
          <t>提交时应被必填校验拦下，不进入流程；实际总分填 0 表示未产生分数</t>
        </is>
      </c>
      <c r="M16" s="13" t="inlineStr">
        <is>
          <t>验证入参校验层生效——挡在最前面的防线</t>
        </is>
      </c>
    </row>
    <row r="17">
      <c r="A17" s="3" t="inlineStr">
        <is>
          <t>TC-14</t>
        </is>
      </c>
      <c r="B17" s="3" t="inlineStr">
        <is>
          <t>异常</t>
        </is>
      </c>
      <c r="C17" s="13" t="inlineStr">
        <is>
          <t>无意义留言不崩</t>
        </is>
      </c>
      <c r="D17" s="13" t="inlineStr">
        <is>
          <t>其他</t>
        </is>
      </c>
      <c r="E17" s="13" t="inlineStr">
        <is>
          <t>1-19人</t>
        </is>
      </c>
      <c r="F17" s="13" t="inlineStr">
        <is>
          <t>普通员工</t>
        </is>
      </c>
      <c r="G17" s="13" t="inlineStr"/>
      <c r="H17" s="13" t="inlineStr">
        <is>
          <t>。。。</t>
        </is>
      </c>
      <c r="I17" s="3" t="inlineStr">
        <is>
          <t>无效</t>
        </is>
      </c>
      <c r="J17" s="15" t="n">
        <v>0</v>
      </c>
      <c r="K17" s="15" t="n">
        <v>29</v>
      </c>
      <c r="L17" s="13" t="inlineStr">
        <is>
          <t>流程走完不报错；filter_reason 有内容</t>
        </is>
      </c>
      <c r="M17" s="13" t="inlineStr">
        <is>
          <t>验证无意义输入不会让链路崩溃，也不会被判成高意向</t>
        </is>
      </c>
    </row>
    <row r="18">
      <c r="A18" s="3" t="inlineStr">
        <is>
          <t>TC-15</t>
        </is>
      </c>
      <c r="B18" s="3" t="inlineStr">
        <is>
          <t>异常</t>
        </is>
      </c>
      <c r="C18" s="13" t="inlineStr">
        <is>
          <t>超长留言（2000 字）</t>
        </is>
      </c>
      <c r="D18" s="13" t="inlineStr">
        <is>
          <t>制造业</t>
        </is>
      </c>
      <c r="E18" s="13" t="inlineStr">
        <is>
          <t>100-499人</t>
        </is>
      </c>
      <c r="F18" s="13" t="inlineStr">
        <is>
          <t>IT负责人/技术总监</t>
        </is>
      </c>
      <c r="G18" s="13" t="inlineStr">
        <is>
          <t>下载白皮书</t>
        </is>
      </c>
      <c r="H18" s="13" t="inlineStr">
        <is>
          <t>（此处粘贴一段约 2000 字的产品需求描述，核心是希望接入现有系统、支持API对接，并询问报价）</t>
        </is>
      </c>
      <c r="I18" s="3" t="inlineStr">
        <is>
          <t>SQL</t>
        </is>
      </c>
      <c r="J18" s="15" t="n">
        <v>60</v>
      </c>
      <c r="K18" s="15" t="n">
        <v>95</v>
      </c>
      <c r="L18" s="13" t="inlineStr">
        <is>
          <t>need_summary ≤30 字；单条耗时 ≤30 秒</t>
        </is>
      </c>
      <c r="M18" s="13" t="inlineStr">
        <is>
          <t>验证长度上限表现，以及长文本是否把提取结果带偏</t>
        </is>
      </c>
    </row>
    <row r="19">
      <c r="A19" s="3" t="inlineStr">
        <is>
          <t>TC-16</t>
        </is>
      </c>
      <c r="B19" s="3" t="inlineStr">
        <is>
          <t>异常</t>
        </is>
      </c>
      <c r="C19" s="13" t="inlineStr">
        <is>
          <t>多意图混杂取最高档</t>
        </is>
      </c>
      <c r="D19" s="13" t="inlineStr">
        <is>
          <t>金融</t>
        </is>
      </c>
      <c r="E19" s="13" t="inlineStr">
        <is>
          <t>100-499人</t>
        </is>
      </c>
      <c r="F19" s="13" t="inlineStr">
        <is>
          <t>IT负责人/技术总监</t>
        </is>
      </c>
      <c r="G19" s="13" t="inlineStr">
        <is>
          <t>观看演示视频</t>
        </is>
      </c>
      <c r="H19" s="13" t="inlineStr">
        <is>
          <t>我们暂时没预算，但想问下支持API对接吗，另外报价多少</t>
        </is>
      </c>
      <c r="I19" s="3" t="inlineStr">
        <is>
          <t>SQL</t>
        </is>
      </c>
      <c r="J19" s="15" t="n">
        <v>70</v>
      </c>
      <c r="K19" s="15" t="n">
        <v>88</v>
      </c>
      <c r="L19" s="13" t="inlineStr">
        <is>
          <t>标签属于{集成需求,价格咨询}，不能是「随便看看」</t>
        </is>
      </c>
      <c r="M19" s="13" t="inlineStr">
        <is>
          <t>验证干扰词（没预算）不拉低分数，且取最高档意图</t>
        </is>
      </c>
    </row>
    <row r="20">
      <c r="A20" s="3" t="inlineStr">
        <is>
          <t>TC-17</t>
        </is>
      </c>
      <c r="B20" s="3" t="inlineStr">
        <is>
          <t>异常</t>
        </is>
      </c>
      <c r="C20" s="13" t="inlineStr">
        <is>
          <t>兜底安全气囊（人为制造）</t>
        </is>
      </c>
      <c r="D20" s="13" t="inlineStr">
        <is>
          <t>制造业</t>
        </is>
      </c>
      <c r="E20" s="13" t="inlineStr">
        <is>
          <t>100-499人</t>
        </is>
      </c>
      <c r="F20" s="13" t="inlineStr">
        <is>
          <t>采购/商务负责人</t>
        </is>
      </c>
      <c r="G20" s="13" t="inlineStr">
        <is>
          <t>下载白皮书</t>
        </is>
      </c>
      <c r="H20" s="13" t="inlineStr">
        <is>
          <t>支持API对接吗</t>
        </is>
      </c>
      <c r="I20" s="3" t="inlineStr">
        <is>
          <t>MQL</t>
        </is>
      </c>
      <c r="J20" s="15" t="n">
        <v>45</v>
      </c>
      <c r="K20" s="15" t="n">
        <v>55</v>
      </c>
      <c r="L20" s="13" t="inlineStr">
        <is>
          <t>intent_score=8、标签=一般了解、流程不中断；本输入正常运行时应为 SQL，故本条须标注「人为制造异常」</t>
        </is>
      </c>
      <c r="M20" s="13" t="inlineStr">
        <is>
          <t>验证解析兜底生效——POC 现场不翻车的底气，也是工程健壮性的证明</t>
        </is>
      </c>
    </row>
    <row r="21">
      <c r="A21" s="3" t="inlineStr">
        <is>
          <t>TC-18</t>
        </is>
      </c>
      <c r="B21" s="3" t="inlineStr">
        <is>
          <t>异常</t>
        </is>
      </c>
      <c r="C21" s="13" t="inlineStr">
        <is>
          <t>中英混杂留言</t>
        </is>
      </c>
      <c r="D21" s="13" t="inlineStr">
        <is>
          <t>软件/互联网</t>
        </is>
      </c>
      <c r="E21" s="13" t="inlineStr">
        <is>
          <t>100-499人</t>
        </is>
      </c>
      <c r="F21" s="13" t="inlineStr">
        <is>
          <t>IT负责人/技术总监</t>
        </is>
      </c>
      <c r="G21" s="13" t="inlineStr">
        <is>
          <t>访问集成对接页</t>
        </is>
      </c>
      <c r="H21" s="13" t="inlineStr">
        <is>
          <t>Do you support API integration? 我们想接入自己的系统</t>
        </is>
      </c>
      <c r="I21" s="3" t="inlineStr">
        <is>
          <t>SQL</t>
        </is>
      </c>
      <c r="J21" s="15" t="n">
        <v>75</v>
      </c>
      <c r="K21" s="15" t="n">
        <v>92</v>
      </c>
      <c r="L21" s="13" t="inlineStr">
        <is>
          <t>标签=集成需求</t>
        </is>
      </c>
      <c r="M21" s="13" t="inlineStr">
        <is>
          <t>验证中英混杂能被正确识别，不因英文而误判为无效</t>
        </is>
      </c>
    </row>
  </sheetData>
  <autoFilter ref="A1:M21"/>
  <conditionalFormatting sqref="B2:B21">
    <cfRule type="cellIs" priority="1" operator="equal" dxfId="3">
      <formula>"正常"</formula>
    </cfRule>
    <cfRule type="cellIs" priority="2" operator="equal" dxfId="2">
      <formula>"边界"</formula>
    </cfRule>
    <cfRule type="cellIs" priority="3" operator="equal" dxfId="4">
      <formula>"异常"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2" customWidth="1" min="3" max="3"/>
  </cols>
  <sheetData>
    <row r="1">
      <c r="A1" s="1" t="inlineStr">
        <is>
          <t>指标</t>
        </is>
      </c>
      <c r="B1" s="1" t="inlineStr">
        <is>
          <t>标准</t>
        </is>
      </c>
      <c r="C1" s="1" t="inlineStr">
        <is>
          <t>为什么这么定</t>
        </is>
      </c>
    </row>
    <row r="2">
      <c r="A2" s="16" t="inlineStr">
        <is>
          <t>等级判定一致率</t>
        </is>
      </c>
      <c r="B2" s="13" t="inlineStr">
        <is>
          <t>≥ 80%（AI vs 人工双盲）</t>
        </is>
      </c>
      <c r="C2" s="13" t="inlineStr">
        <is>
          <t>POC 期最实用的指标——销售认不认可，比数学上的准确率更重要</t>
        </is>
      </c>
    </row>
    <row r="3">
      <c r="A3" s="16" t="inlineStr">
        <is>
          <t>关键用例通过率</t>
        </is>
      </c>
      <c r="B3" s="13" t="inlineStr">
        <is>
          <t>TC-01（SQL）、TC-05（无效）必须 100%</t>
        </is>
      </c>
      <c r="C3" s="13" t="inlineStr">
        <is>
          <t>这两类是业务命门：漏掉高价值客户 / 放行垃圾线索，代价最大</t>
        </is>
      </c>
    </row>
    <row r="4">
      <c r="A4" s="16" t="inlineStr">
        <is>
          <t>分数抖动</t>
        </is>
      </c>
      <c r="B4" s="13" t="inlineStr">
        <is>
          <t>同一条跑 3 次，极差 ≤ ±5 分</t>
        </is>
      </c>
      <c r="C4" s="13" t="inlineStr">
        <is>
          <t>分数飘忽销售就不信，可解释性直接崩掉</t>
        </is>
      </c>
    </row>
    <row r="5">
      <c r="A5" s="16" t="inlineStr">
        <is>
          <t>兜底命中率</t>
        </is>
      </c>
      <c r="B5" s="13" t="inlineStr">
        <is>
          <t>≤ 5%</t>
        </is>
      </c>
      <c r="C5" s="13" t="inlineStr">
        <is>
          <t>兜底太多说明提示词约束不够，或模型能力不足</t>
        </is>
      </c>
    </row>
    <row r="6">
      <c r="A6" s="16" t="inlineStr">
        <is>
          <t>单条处理耗时</t>
        </is>
      </c>
      <c r="B6" s="13" t="inlineStr">
        <is>
          <t>≤ 30 秒</t>
        </is>
      </c>
      <c r="C6" s="13" t="inlineStr">
        <is>
          <t>对齐案例文档里的验收标准（30 秒内完成打分）</t>
        </is>
      </c>
    </row>
    <row r="7">
      <c r="A7" s="16" t="inlineStr">
        <is>
          <t>数值边界不越界</t>
        </is>
      </c>
      <c r="B7" s="13" t="inlineStr">
        <is>
          <t>属性分 0-45、行为分 0-25、意图分 0-30</t>
        </is>
      </c>
      <c r="C7" s="13" t="inlineStr">
        <is>
          <t>防止封顶 / 夹紧逻辑失效导致总分爆表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64" customWidth="1" min="3" max="3"/>
  </cols>
  <sheetData>
    <row r="1">
      <c r="A1" s="1" t="inlineStr">
        <is>
          <t>症状</t>
        </is>
      </c>
      <c r="B1" s="1" t="inlineStr">
        <is>
          <t>可能原因</t>
        </is>
      </c>
      <c r="C1" s="1" t="inlineStr">
        <is>
          <t>对应动作</t>
        </is>
      </c>
    </row>
    <row r="2">
      <c r="A2" s="16" t="inlineStr">
        <is>
          <t>分数普遍偏低 / 高意向被判 MQL</t>
        </is>
      </c>
      <c r="B2" s="13" t="inlineStr">
        <is>
          <t>阈值太保守，或缺行为数据</t>
        </is>
      </c>
      <c r="C2" s="13" t="inlineStr">
        <is>
          <t>先用真实成交样本回测改阈值；确认客户能否提供行为字段（缺行为分则总分上限只有 75）</t>
        </is>
      </c>
    </row>
    <row r="3">
      <c r="A3" s="16" t="inlineStr">
        <is>
          <t>同一条线索分数每次不一样</t>
        </is>
      </c>
      <c r="B3" s="13" t="inlineStr">
        <is>
          <t>温度太高 / 提示词档位模糊</t>
        </is>
      </c>
      <c r="C3" s="13" t="inlineStr">
        <is>
          <t>温度降到 0.2；给每一档补一个例句（few-shot），让档位边界不重叠</t>
        </is>
      </c>
    </row>
    <row r="4">
      <c r="A4" s="16" t="inlineStr">
        <is>
          <t>话术答非所问</t>
        </is>
      </c>
      <c r="B4" s="13" t="inlineStr">
        <is>
          <t>检索没取到对的资料</t>
        </is>
      </c>
      <c r="C4" s="13" t="inlineStr">
        <is>
          <t>检查知识库分段是否太碎、开 rerank、把查询词从留言原文换成提取后的关键词试试</t>
        </is>
      </c>
    </row>
    <row r="5">
      <c r="A5" s="16" t="inlineStr">
        <is>
          <t>话术编造产品功能</t>
        </is>
      </c>
      <c r="B5" s="13" t="inlineStr">
        <is>
          <t>提示词约束不够</t>
        </is>
      </c>
      <c r="C5" s="13" t="inlineStr">
        <is>
          <t>强化「资料未覆盖的写需与产品团队确认」；补充知识库覆盖该话题</t>
        </is>
      </c>
    </row>
    <row r="6">
      <c r="A6" s="16" t="inlineStr">
        <is>
          <t>经常走兜底</t>
        </is>
      </c>
      <c r="B6" s="13" t="inlineStr">
        <is>
          <t>提示词没给输出格式示例</t>
        </is>
      </c>
      <c r="C6" s="13" t="inlineStr">
        <is>
          <t>提示词里贴一个标准 JSON 示例；或换支持结构化输出（JSON Schema）的模型</t>
        </is>
      </c>
    </row>
    <row r="7">
      <c r="A7" s="16" t="inlineStr">
        <is>
          <t>提取出的 JSON 塞不进下游</t>
        </is>
      </c>
      <c r="B7" s="13" t="inlineStr">
        <is>
          <t>下游引用的是 extract.text（整段 JSON 字符串）</t>
        </is>
      </c>
      <c r="C7" s="13" t="inlineStr">
        <is>
          <t>加一个解析节点取出 need_summary 再往下传（对应通关手册「待改点 2」）</t>
        </is>
      </c>
    </row>
    <row r="8">
      <c r="A8" s="16" t="inlineStr">
        <is>
          <t>无效线索也花了钱</t>
        </is>
      </c>
      <c r="B8" s="13" t="inlineStr">
        <is>
          <t>分支位置太靠后</t>
        </is>
      </c>
      <c r="C8" s="13" t="inlineStr">
        <is>
          <t>把可前置的规则判断提前；注意提取与意图评分这两次调用无法避免，没有它们判断不出等级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AI-CRM 线索评分助手 测试用例集</dc:title>
  <dcterms:created xmlns:dcterms="http://purl.org/dc/terms/" xmlns:xsi="http://www.w3.org/2001/XMLSchema-instance" xsi:type="dcterms:W3CDTF">2026-09-28T01:48:57Z</dcterms:created>
  <dcterms:modified xmlns:dcterms="http://purl.org/dc/terms/" xmlns:xsi="http://www.w3.org/2001/XMLSchema-instance" xsi:type="dcterms:W3CDTF">2026-09-28T02:58:13Z</dcterms:modified>
</cp:coreProperties>
</file>
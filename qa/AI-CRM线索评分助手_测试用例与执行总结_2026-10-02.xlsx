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4"/>
  </bookViews>
  <sheets>
    <sheet name="测试总结" sheetId="1" r:id="rId1"/>
    <sheet name="测试用例集" sheetId="2" r:id="rId2"/>
    <sheet name="执行记录" sheetId="3" r:id="rId3"/>
    <sheet name="缺陷与修复记录" sheetId="4" r:id="rId4"/>
    <sheet name="通过标准" sheetId="5" r:id="rId5"/>
    <sheet name="优化动作清单" sheetId="6" r:id="rId6"/>
  </sheets>
  <definedNames>
    <definedName name="_xlnm._FilterDatabase" localSheetId="1" hidden="1">测试用例集!$A$1:$T$29</definedName>
    <definedName name="_xlnm._FilterDatabase" localSheetId="3" hidden="1">缺陷与修复记录!$A$1:$I$10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<sst xmlns="http://schemas.openxmlformats.org/spreadsheetml/2006/main" count="756" uniqueCount="519">
  <si>
    <t>AI-CRM 线索评分助手 · 测试用例与执行总结</t>
  </si>
  <si>
    <t>被测对象：Dify 云端工作流（已发布版） · 统计期间：2026-09-28 ~ 2026-10-02 · 编制：秦斌然</t>
  </si>
  <si>
    <t>一、被测对象信息</t>
  </si>
  <si>
    <t>应用名称</t>
  </si>
  <si>
    <t>AI CRM 线索评分助手（Dify Chatflow/Workflow 应用）</t>
  </si>
  <si>
    <t>工作流结构</t>
  </si>
  <si>
    <t>13 节点：开始 → 结构化提取 → 规则评分器 → 意图评分 → 意图结果解析 → 总分汇总 → 分级分流 → 产品知识检索 → 跟进建议生成 / 培育内容生成 → 结束×3</t>
  </si>
  <si>
    <t>评分模型</t>
  </si>
  <si>
    <t>属性分 45 + 行为分 25 + 意图分 30；阈值 ≥60 SQL / ≥30 MQL / &lt;30 无效</t>
  </si>
  <si>
    <t>线上访问</t>
  </si>
  <si>
    <t>WebApp：https://udify.app/workflow/Qv6HGVA7QVEZst94</t>
  </si>
  <si>
    <t>API 接口</t>
  </si>
  <si>
    <t>https://api.dify.ai/v1/workflows/run（response_mode=streaming）</t>
  </si>
  <si>
    <t>模型与知识库</t>
  </si>
  <si>
    <t>自有模型供应商（已替换 Sandbox 官方额度）+ 知识库「CRM产品知识库」（产品手册/FAQ/客户案例 合并版）绑定检索节点</t>
  </si>
  <si>
    <t>前置交付物</t>
  </si>
  <si>
    <t>Dify导入_AI-CRM线索评分助手_修复版.yml（13 节点、10 个输出变量全局唯一、无位置重叠）</t>
  </si>
  <si>
    <t>新增分析列</t>
  </si>
  <si>
    <t>「结果预判与风险」= 预期表现 + 可能偏差；「卡点节点」= 不通过时先查哪个节点；「节点级优化方案」= 改哪个节点、怎么改（三列已覆盖全部 28 条用例）</t>
  </si>
  <si>
    <t>二、测试执行概览（自动统计）</t>
  </si>
  <si>
    <t>指标</t>
  </si>
  <si>
    <t>数值</t>
  </si>
  <si>
    <t>口径 / 说明</t>
  </si>
  <si>
    <t>用例总数</t>
  </si>
  <si>
    <t>｜测试用例集｜全部用例条数</t>
  </si>
  <si>
    <t>已执行</t>
  </si>
  <si>
    <t>已填实际结果并入判定的用例数</t>
  </si>
  <si>
    <t>通过</t>
  </si>
  <si>
    <t>等级命中 + 分数在预期区间</t>
  </si>
  <si>
    <t>不通过</t>
  </si>
  <si>
    <t>任一判定条件未满足，需定位到节点归因</t>
  </si>
  <si>
    <t>待测</t>
  </si>
  <si>
    <t>实际等级或实际总分为空</t>
  </si>
  <si>
    <t>通过率</t>
  </si>
  <si>
    <t>通过 ÷ 已执行（分母空/0 时显示空白）</t>
  </si>
  <si>
    <t>其中：工作流功能类</t>
  </si>
  <si>
    <t>本地 1:1 复刻执行的用例</t>
  </si>
  <si>
    <t>其中：API集成类</t>
  </si>
  <si>
    <t>云端发布版端到端调用用例（2026-10-02 新增）</t>
  </si>
  <si>
    <t>三、用例分布（按层次）</t>
  </si>
  <si>
    <t>层次</t>
  </si>
  <si>
    <t>用例数</t>
  </si>
  <si>
    <t>正常</t>
  </si>
  <si>
    <t>边界</t>
  </si>
  <si>
    <t>异常</t>
  </si>
  <si>
    <t>集成</t>
  </si>
  <si>
    <t>四、本次测试结论</t>
  </si>
  <si>
    <t>① 工作流功能测试：本地按 DSL 1:1 复刻执行 20 条用例，两轮迭代通过率 90% → 100%（详见「执行记录」）。</t>
  </si>
  <si>
    <t>② 线上 API 打通：2026-10-02 完成云端发布与端到端实测，streaming 调用 10 个节点全部 success，金牌用例输出 73 分 / SQL 分级，与本地基线一致。</t>
  </si>
  <si>
    <t>③ 缺陷闭环：累计修复 9 项缺陷，其中阻断级 3 项（画布改动未发布、API Key 指向旧应用、Sandbox 模型额度耗尽），全部已复测通过。</t>
  </si>
  <si>
    <t>④ 遗留优化：LLM 换非思考模式可把端到端耗时从约 98 秒降到 40 秒内；意图档位需再校准（「API集成+报价+演示」被判为「一般了解」偏保守）。</t>
  </si>
  <si>
    <t>⑤ 使用限制（POC）：Demo 前端内置演示用 Key，正式交付需改为后端中转并加限流与日志；知识库为静态文本，暂不支持自动同步。</t>
  </si>
  <si>
    <t>⑥ 可执行性：28 条用例均已给出「结果预判与风险 → 卡点节点 → 节点级优化方案」三列。任何一条不通过，可直接按「卡点节点」定位到画布上的具体节点，按「优化方案」逐条修改并复测，无需重新做归因分析。</t>
  </si>
  <si>
    <t>用例编号</t>
  </si>
  <si>
    <t>类型</t>
  </si>
  <si>
    <t>用例名称</t>
  </si>
  <si>
    <t>行业</t>
  </si>
  <si>
    <t>公司规模</t>
  </si>
  <si>
    <t>岗位</t>
  </si>
  <si>
    <t>近期行为</t>
  </si>
  <si>
    <t>客户留言</t>
  </si>
  <si>
    <t>预期等级</t>
  </si>
  <si>
    <t>预期下限</t>
  </si>
  <si>
    <t>预期上限</t>
  </si>
  <si>
    <t>关键校验点</t>
  </si>
  <si>
    <t>设计理由</t>
  </si>
  <si>
    <t>结果预判与风险</t>
  </si>
  <si>
    <t>卡点节点</t>
  </si>
  <si>
    <t>节点级优化方案</t>
  </si>
  <si>
    <t>实际等级</t>
  </si>
  <si>
    <t>实际总分</t>
  </si>
  <si>
    <t>判定</t>
  </si>
  <si>
    <t>TC-01</t>
  </si>
  <si>
    <t>工作流功能</t>
  </si>
  <si>
    <t>高分线索判 SQL</t>
  </si>
  <si>
    <t>制造业</t>
  </si>
  <si>
    <t>500人以上</t>
  </si>
  <si>
    <t>IT负责人/技术总监</t>
  </si>
  <si>
    <t>打开报价邮件、访问集成对接页</t>
  </si>
  <si>
    <t>我们旧CRM想嵌AI评分，支持API对接吗？</t>
  </si>
  <si>
    <t>SQL</t>
  </si>
  <si>
    <t>话术必须出现「API」或「集成」；标签=集成需求</t>
  </si>
  <si>
    <t>验证最高档意图（集成需求）是否生效，SQL 支线 RAG 检索与话术生成是否跑通</t>
  </si>
  <si>
    <t>预判：本地 91 分稳定 SQL；线上走 RAG + 推理模型，预计 85~93。风险：意图档位偏保守时标签落「一般了解」，意图分丢 20 分，总分掉到 70 上下逼近下限。</t>
  </si>
  <si>
    <t>意图评分 → 意图结果解析 → 规则评分器 → 跟进建议生成</t>
  </si>
  <si>
    <t>① 标签 ≠ 集成需求：在「意图评分」prompt 的集成需求档补触发词「嵌 AI 评分」「API 对接」「系统打通」。② 标签对但总分 &lt;85：核对「规则评分器」的行为分字典是否含「访问集成对接页」，并确认两条行为未重复计算。③ 话术缺 API/集成：在「跟进建议生成」prompt 强制「必须回应留言中的集成诉求并引用知识库检索到的对接方式」。</t>
  </si>
  <si>
    <t>TC-02</t>
  </si>
  <si>
    <t>询价+约演示判 SQL</t>
  </si>
  <si>
    <t>软件/互联网</t>
  </si>
  <si>
    <t>100-499人</t>
  </si>
  <si>
    <t>采购/商务负责人</t>
  </si>
  <si>
    <t>预约产品演示</t>
  </si>
  <si>
    <t>想约个演示，顺便问下报价</t>
  </si>
  <si>
    <t>标签属于{价格咨询,演示试用}；建议四段小标题齐全</t>
  </si>
  <si>
    <t>验证中高意图识别，以及多意图并存时取最高档</t>
  </si>
  <si>
    <t>预判：本地 78 分 SQL。风险：多意图并存时若只取「价格咨询」（20 分档）而非最高档，会跌进 MQL；「预约产品演示」若不在行为字典还会再丢 15 分。</t>
  </si>
  <si>
    <t>意图评分（多意图取最高档） → 规则评分器（行为字典） → 跟进建议生成</t>
  </si>
  <si>
    <t>① 标签落低档：在「意图评分」prompt 明确「多意图并存取最高档，优先级：集成需求 &gt; 演示试用 &gt; 价格咨询 &gt; 一般了解」。② 总分跌到 60 以下：核对「规则评分器」行为分字典键与前端下拉选项是否字面一致（「预约产品演示」）。③ 四大段小标题缺失：在「跟进建议生成」prompt 里给固定四段结构模板（现状判断/需求确认/建议动作/下一步）。</t>
  </si>
  <si>
    <t>TC-03</t>
  </si>
  <si>
    <t>弱画像弱行为判 MQL</t>
  </si>
  <si>
    <t>金融</t>
  </si>
  <si>
    <t>20-99人</t>
  </si>
  <si>
    <t>普通员工</t>
  </si>
  <si>
    <t>下载白皮书</t>
  </si>
  <si>
    <t>想了解一下你们的产品功能</t>
  </si>
  <si>
    <t>MQL</t>
  </si>
  <si>
    <t>不得越级为 SQL；出口含培育方案</t>
  </si>
  <si>
    <t>检验弱画像+弱行为组合是否正确落入培育池</t>
  </si>
  <si>
    <t>预判：本地 43 分 MQL，窗口宽裕。风险：「下载白皮书」未命中行为字典时行为分归零，总分跌到 28 以下，直接误判为无效、退出销售漏斗。</t>
  </si>
  <si>
    <t>规则评分器（行为分字典） → 意图结果解析 → 分级分流</t>
  </si>
  <si>
    <t>① 误入无效：把行为字典键与前端选项逐字对齐（「下载白皮书」vs「下载资料」这类字面差最常踩）。② 分数偏离 &gt;5：校准「规则评分器」中金融行业（+10）与普通员工（+5）的属性分权重。③ 出口无培育方案：确认「分级分流」MQL 分支阈值仍是 30（被误改会直接走无效）。</t>
  </si>
  <si>
    <t>TC-04</t>
  </si>
  <si>
    <t>MQL 培育方案完整</t>
  </si>
  <si>
    <t>教育</t>
  </si>
  <si>
    <t>销售/市场负责人</t>
  </si>
  <si>
    <t>看看有没有合适的方案，先了解下</t>
  </si>
  <si>
    <t>nurture_plan 三要素齐全（推荐资料/触达文案/下次触达）</t>
  </si>
  <si>
    <t>验证 MQL 支线培育内容生成正常</t>
  </si>
  <si>
    <t>预判：本地 33 分，仅高于 30 阈值 3 分——全表最脆弱的一条。风险：模型抖动 -5 分即跌入无效；同时它是「阈值双写」错位的高发用例。</t>
  </si>
  <si>
    <t>总分汇总（grade 标签） / 分级分流（阈值 30） → 培育内容生成</t>
  </si>
  <si>
    <t>① 跌入无效：把阈值的两处同步下调（或为教育+销售市场这类画像单独加 5 分兜底）——「总分汇总」if-else 与「分级分流」条件必须同改，只改一处会出现「标签无效却走 MQL 支线」。② nurture_plan 缺要素：在「培育内容生成」prompt 硬性要求输出「推荐资料 / 触达文案 / 下次触达时间」三要素并给格式示例。</t>
  </si>
  <si>
    <t>TC-05</t>
  </si>
  <si>
    <t>学生线索自动过滤</t>
  </si>
  <si>
    <t>学生个人</t>
  </si>
  <si>
    <t>个人/无</t>
  </si>
  <si>
    <t>学生</t>
  </si>
  <si>
    <t/>
  </si>
  <si>
    <t>写作业需要了解CRM</t>
  </si>
  <si>
    <t>无效</t>
  </si>
  <si>
    <t>filter_reason 有内容；不触发知识库检索与话术生成</t>
  </si>
  <si>
    <t>关键用例：负分行业+负分规模是否被夹紧到 0 且被拦截</t>
  </si>
  <si>
    <t>预判：本地 3 分，稳定落在无效，属关键用例（必须 100% 通过）。风险：AI 可能因「了解CRM」给出 10 分意图分，总分抬到 15 仍无效；真正风险是阈值双写错位导致标签与分支不一致。</t>
  </si>
  <si>
    <t>规则评分器（负分夹紧） → 分级分流</t>
  </si>
  <si>
    <t>① 标签无效却走了 MQL/SQL 支线：同步修改「总分汇总」与「分级分流」两处阈值。② 属性分出现负数：检查「规则评分器」中学生个人（-25）、个人/无（-15）后是否做了 max(0, …) 夹紧。③ 仍触发知识库检索：确认无效分支的结束节点未连到检索与话术节点（省一次 LLM）。</t>
  </si>
  <si>
    <t>TC-06</t>
  </si>
  <si>
    <t>未收录行业走默认分</t>
  </si>
  <si>
    <t>其他</t>
  </si>
  <si>
    <t>1-19人</t>
  </si>
  <si>
    <t>随便看看</t>
  </si>
  <si>
    <t>流程不报错；属性分不因「其他」而异常</t>
  </si>
  <si>
    <t>验证不在字典里的行业值走默认分、不报错</t>
  </si>
  <si>
    <t>预判：本地 15 分无效，链路走完不报错。风险：字典缺 key 时若用直接索引会抛 KeyError，整个 code 节点中断、流程直接失败。</t>
  </si>
  <si>
    <t>规则评分器（字典默认值）</t>
  </si>
  <si>
    <t>① 链路报错：把「规则评分器」的属性/行为字典取值改成 .get(key, 默认分) 形式，替代 dict[key]。② 「其他」行业分数异常：为「其他 / 未提供」显式给中性分（0~5），不要落到默认正分造成虚高。</t>
  </si>
  <si>
    <t>TC-07</t>
  </si>
  <si>
    <t>卡在 60 分线上</t>
  </si>
  <si>
    <t>想了解下功能细节</t>
  </si>
  <si>
    <t>SQL或MQL</t>
  </si>
  <si>
    <t>记录实际分数；同一条跑 3 次看等级是否跳变</t>
  </si>
  <si>
    <t>暴露阈值敏感区，为 60/30 阈值校准提供依据</t>
  </si>
  <si>
    <t>预判：本地 57 分 MQL，正好压在 60 线上方 3 分。风险：同一条跑 3 次极差可能 ≥5，等级在 SQL/MQL 之间跳变——这是阈值敏感区的活样本，也是「分数抖动」指标的必测点。</t>
  </si>
  <si>
    <t>意图评分（档位边界） → 总分汇总 / 分级分流（阈值 60）</t>
  </si>
  <si>
    <t>① 等级跳变：给「意图评分」prompt 补齐各档互斥的 few-shot 例句，消除边界模糊；LLM 温度统一降到 0.2。② 业务上希望这类画像判 SQL：把「制造/100-499/IT负责人」属性分上调，或把阈值 60 降到 55（两处同步改）。③ 若跳变仍存在：在「总分汇总」对意图分做三档钳制（10/20/30），用离散化换稳定性。</t>
  </si>
  <si>
    <t>TC-08A</t>
  </si>
  <si>
    <t>同画像对照组（弱意图）</t>
  </si>
  <si>
    <t>想了解下功能</t>
  </si>
  <si>
    <t>与 TC-08B 同画像；B 组总分应高出本组 ≥10 分</t>
  </si>
  <si>
    <t>检验意图分的区分度（只换一句留言，其余字段完全相同）</t>
  </si>
  <si>
    <t>预判：本地 54 分 MQL，与 TC-08B 同画像仅差一句留言。风险：若模型把两句留言判成同一档，A/B 差值缩到 0~5，说明意图分区分度失效，整套评分模型的「意图维」形同虚设。</t>
  </si>
  <si>
    <t>意图评分（档位区分度）</t>
  </si>
  <si>
    <t>① 差值 &lt;10：在「意图评分」prompt 显式区分「想了解下功能」= 一般了解（10 分）与「支持 API 对接吗」= 集成需求（30 分），各补一句 few-shot。② 仍不区分：在「规则评分器」里加关键词兜底加权（命中 API/对接/集成/接入 → 意图分下限 25），用 code 兜住 LLM 的不稳定。</t>
  </si>
  <si>
    <t>TC-08B</t>
  </si>
  <si>
    <t>同画像对照组（强意图）</t>
  </si>
  <si>
    <t>支持API对接吗</t>
  </si>
  <si>
    <t>与 TC-08A 比较：总分高出 ≥10 分且等级升为 SQL</t>
  </si>
  <si>
    <t>预判：本地 68 分 SQL，应比 TC-08A 高出 ≥10 分且升档为 SQL。风险：与 A 组同分或差值 &lt;10，即意图分未拉开；也可能高出太多（&gt;25）说明属性分被重复计入。</t>
  </si>
  <si>
    <t>意图评分（档位区分度） → 总分汇总</t>
  </si>
  <si>
    <t>① 与 A 组差值 &lt;10：同 TC-08A 的档位例句补强方案。② 差值 &gt;25：检查「总分汇总」是否把意图分重复相加，或属性分在两次计算中被累加。③ 升级后未走 SQL 支线：核对「分级分流」的 60 条件是否用了 &gt;= 而非 &gt;。</t>
  </si>
  <si>
    <t>TC-09</t>
  </si>
  <si>
    <t>行为分封顶 25</t>
  </si>
  <si>
    <t>预约产品演示、打开报价邮件、观看演示视频、访问集成对接页、下载白皮书、一周内多次访问官网</t>
  </si>
  <si>
    <t>想看下你们的集成方案，支持API吗</t>
  </si>
  <si>
    <t>behavior_score 必须=25（原始相加为 70）；总分≤100</t>
  </si>
  <si>
    <t>验证行为分封顶逻辑生效，否则总分可能爆表</t>
  </si>
  <si>
    <t>预判：本地 96 分 SQL（属性 45 + 行为 25 封顶 + 意图 30 上限附近）。风险：封顶逻辑一旦失效，行为分原始相加为 70，总分直接爆表 &gt;100，漏斗统计与排序全乱。</t>
  </si>
  <si>
    <t>规则评分器（min 封顶） → 总分汇总</t>
  </si>
  <si>
    <t>① 总分 &gt;100：双层封顶都要查——「规则评分器」min(25, 行为合计) 与「总分汇总」min(100, 总分)。② 行为分 &gt;25：对重复出现的同一行为词做去重（同一行为多次出现不应重复计分）。</t>
  </si>
  <si>
    <t>TC-10A</t>
  </si>
  <si>
    <t>属性分上限夹紧 45</t>
  </si>
  <si>
    <t>咨询下产品</t>
  </si>
  <si>
    <t>attribute_score 必须=45，不得超过</t>
  </si>
  <si>
    <t>验证属性分上限夹紧，防止单项极值把总分带偏</t>
  </si>
  <si>
    <t>预判：本地 54 分，属性分被夹紧到 45。风险：夹紧失效时属性分会冲到 60+，总分虚高把 MQL 误升为 SQL，销售拿到假高意向线索。</t>
  </si>
  <si>
    <t>规则评分器（属性分上限）</t>
  </si>
  <si>
    <t>① 属性分 &gt;45：修「规则评分器」的 min(45, 属性合计)。② 建议回归断言：把 attribute_score / behavior_score / intent_score 三个中间量一并输出到结束节点，便于逐项核对而不是只看总分。</t>
  </si>
  <si>
    <t>TC-10B</t>
  </si>
  <si>
    <t>属性分下限夹紧 0</t>
  </si>
  <si>
    <t>老师让我们调研CRM产品</t>
  </si>
  <si>
    <t>attribute_score 必须=0（不能是 -25）</t>
  </si>
  <si>
    <t>验证负数被夹紧到 0，不污染总分与漏斗统计</t>
  </si>
  <si>
    <t>预判：本地 3 分无效，属性分被夹紧到 0（而非 -25）。风险：未夹紧的负分会把总分带成负数，污染漏斗统计与报表分母。</t>
  </si>
  <si>
    <t>规则评分器（负分夹紧） → 总分汇总</t>
  </si>
  <si>
    <t>① 属性分为负：在「规则评分器」对三项分都加 max(0, …)。② 总分仍异常偏低：检查「总分汇总」是否对三项分别做了范围夹紧后再相加，而不是先加后夹。</t>
  </si>
  <si>
    <t>TC-11</t>
  </si>
  <si>
    <t>行为词未命中字典</t>
  </si>
  <si>
    <t>预约演示</t>
  </si>
  <si>
    <t>behavior_score=0（行为词未命中字典）；应记为待修复的配置问题</t>
  </si>
  <si>
    <t>负向测试：故意用不匹配的行为词，主动挖出字典键与输入选项不一致的风险</t>
  </si>
  <si>
    <t>预判：本地 49 分 MQL；按设计「预约演示」不在字典，行为分应为 0——这是故意埋的配置缺陷探针。风险：该缺陷会被误读为「业务上本就低分」，掩盖口径不一致问题。</t>
  </si>
  <si>
    <t>规则评分器（行为字典键） + 前端表单选项</t>
  </si>
  <si>
    <t>① 统一口径：把行为词规范为字典键「预约产品演示」，前端下拉选项与「规则评分器」字典字面必须完全一致（改一处不算改完）。② 长期防御：在「规则评分器」code 里返回未命中的行为词列表（missed_behaviors），让配置漂移在测试阶段就暴露。</t>
  </si>
  <si>
    <t>TC-12</t>
  </si>
  <si>
    <t>学生伪装调研被拦</t>
  </si>
  <si>
    <t>老师让我们调研一下CRM产品</t>
  </si>
  <si>
    <t>attribute_score=0；意图分&lt;5</t>
  </si>
  <si>
    <t>验证「调研」这类正经词不会把学生线索抬成 MQL</t>
  </si>
  <si>
    <t>预判：本地 3 分无效。「调研」是正经词，可能被判成一般了解（10 分）→ 总分约 13，仍无效。风险：若行业被错选为「其他」且规模为 20-99，属性分不再为负，总分可能摸到 30 阈值抬成 MQL。</t>
  </si>
  <si>
    <t>规则评分器（负分画像） → 意图评分</t>
  </si>
  <si>
    <t>① 被抬成 MQL：强化「规则评分器」的负分默认值（学生个人 -25、个人/无 -15）。② 意图分偏高：在「意图评分」prompt 加硬规则「自称学生 / 毕设 / 作业 / 论文 → 意图分 ≤5」。③ 组合防御：无论画像字段如何填，只要意图分 ≤5 就在「总分汇总」强制 INVALID。</t>
  </si>
  <si>
    <t>TC-13</t>
  </si>
  <si>
    <t>留言留空被校验拦下</t>
  </si>
  <si>
    <t>拦截</t>
  </si>
  <si>
    <t>提交时应被必填校验拦下，不进入流程；实际总分填 0 表示未产生分数</t>
  </si>
  <si>
    <t>验证入参校验层生效——挡在最前面的防线</t>
  </si>
  <si>
    <t>预判：被双重校验拦下（前端必填 + Dify start 节点 required），不进入流程、不消耗模型额度。风险：若 start 节点未把留言设为必填，空值会流进 LLM，报「提取失败」这种看不懂的错误。</t>
  </si>
  <si>
    <t>开始节点（required 配置）</t>
  </si>
  <si>
    <t>① 空值流进流程：把 lead_raw 在 start 节点标记为 required，并给每个变量配中文 label（错误信息会带上 label）。② 想静默拦截：在 start 之后加一层 code 短路节点，空值时直接走「结束(无效)」分支。③ 注意：即使前端拦住了，接口直连仍会消耗额度，建议把校验放在 start 节点而非仅前端。</t>
  </si>
  <si>
    <t>TC-14</t>
  </si>
  <si>
    <t>无意义留言不崩</t>
  </si>
  <si>
    <t>。。。</t>
  </si>
  <si>
    <t>流程走完不报错；filter_reason 有内容</t>
  </si>
  <si>
    <t>验证无意义输入不会让链路崩溃，也不会被判成高意向</t>
  </si>
  <si>
    <t>预判：本地 20 分无效，链路走完不报错。风险：属性分照给（其他行业/1-19人/普通员工 ≈20 分），若意图分被误判 ≥10，总分就可能摸到 30 阈值、误入 MQL——这是已知设计盲区的活体样本。</t>
  </si>
  <si>
    <t>意图评分 → 意图结果解析（兜底判定） → 总分汇总</t>
  </si>
  <si>
    <t>① 治本：在「意图结果解析」或「总分汇总」加规则「意图分 ≤5 时强制 INVALID」，一次性覆盖闲聊、乱码、无关留言三类噪声。② 治标：在「意图评分」prompt 明确「无业务诉求（如「。。。」「今天天气」）→ 意图分 0」。③ 「其他」行业不要给正分，避免噪声靠属性分「捡分」。</t>
  </si>
  <si>
    <t>TC-15</t>
  </si>
  <si>
    <t>超长留言（2000 字）</t>
  </si>
  <si>
    <t>（约 2000 字的产品需求描述，核心是希望接入现有系统、支持API对接，并询问报价）</t>
  </si>
  <si>
    <t>need_summary ≤30 字；单条耗时 ≤30 秒（本地）</t>
  </si>
  <si>
    <t>验证长度上限表现，以及长文本是否把提取结果带偏</t>
  </si>
  <si>
    <t>预判：本地 71 分 SQL；长文本提取更慢，本地耗时可能顶到 30 秒。风险：need_summary 被撑爆超 30 字，下游话术变啰嗦；或关键字段串味（把「报价」写进公司名）。</t>
  </si>
  <si>
    <t>结构化提取 → 跟进建议生成</t>
  </si>
  <si>
    <t>① need_summary 超长：在「结构化提取」prompt 写明「need_summary ≤30 字」并给一段正/反示例。② 字段串味：明确提取边界——只从留言中提取，未提及一律填「未提供」，禁止推测。③ 耗时过长：长文本优先换非思考模式模型；必要时在 start 后加一层 code 截断（如前 1500 字）。</t>
  </si>
  <si>
    <t>TC-16</t>
  </si>
  <si>
    <t>多意图混杂取最高档</t>
  </si>
  <si>
    <t>观看演示视频</t>
  </si>
  <si>
    <t>我们暂时没预算，但想问下支持API对接吗，另外报价多少</t>
  </si>
  <si>
    <t>标签属于{集成需求,价格咨询}，不能是「随便看看」</t>
  </si>
  <si>
    <t>验证干扰词（没预算）不拉低分数，且取最高档意图</t>
  </si>
  <si>
    <t>预判：本地 77 分 SQL。风险：干扰词「暂时没预算」可能把模型带偏到「价格咨询」低档，总分跌到 60 附近或直接变 MQL；三个诉求（API/报价/预算）也可能只回应一个。</t>
  </si>
  <si>
    <t>意图评分（干扰词抗性） → 跟进建议生成</t>
  </si>
  <si>
    <t>① 被打成低档：在「意图评分」prompt 补「多意图并存取最高档；『没预算』『先了解』『暂时不需要』等抑制词不影响档位判定」。② 话术漏诉求：在「跟进建议生成」prompt 要求「逐条回应客户留言中的每一个诉求，一条不漏」。</t>
  </si>
  <si>
    <t>TC-17</t>
  </si>
  <si>
    <t>兜底安全气囊（人为制造）</t>
  </si>
  <si>
    <t>intent_score=8、标签=一般了解、流程不中断；本输入正常运行时应为 SQL，故须标注「人为制造异常」</t>
  </si>
  <si>
    <t>验证解析兜底生效——POC 现场不翻车的底气，也是工程健壮性的证明</t>
  </si>
  <si>
    <t>预判：正常情况下这句留言应判 SQL（约 68 分），人为破坏后走兜底 → 50 分 MQL、标签「一般了解」、intent_score=8，流程不中断。风险：兜底逻辑本身若抛异常，会变成整条链路中断，POC 现场直接翻车。</t>
  </si>
  <si>
    <t>意图结果解析（JSON 兜底） → 意图评分（输出格式约束）</t>
  </si>
  <si>
    <t>① 流程中断：在「意图结果解析」套 try/catch，解析失败时给默认输出（标签=一般了解 / 分=8 / 原因=解析失败）并继续跑完。② 兜底率 &gt;5%：在「意图评分」prompt 贴标准 JSON 输出示例（含「只输出 JSON、不要任何解释」），或换支持结构化输出的模型。③ 兜底原因不可见：把兜底触发标记输出到 filter_reason / 结束节点，便于统计兜底率。</t>
  </si>
  <si>
    <t>TC-18</t>
  </si>
  <si>
    <t>中英混杂留言</t>
  </si>
  <si>
    <t>访问集成对接页</t>
  </si>
  <si>
    <t>Do you support API integration? 我们想接入自己的系统</t>
  </si>
  <si>
    <t>标签=集成需求</t>
  </si>
  <si>
    <t>验证中英混杂能被正确识别，不因英文而误判为无效</t>
  </si>
  <si>
    <t>预判：本地 78 分 SQL，标签=集成需求。风险：模型可能因英文部分降低置信度，标签落到「一般了解」，意图分丢 20 分；或结构化提取把英文段落当成公司名。</t>
  </si>
  <si>
    <t>意图评分 → 结构化提取</t>
  </si>
  <si>
    <t>① 标签降档：在「意图评分」prompt 注明「中英混杂一律按语义判定，不因语言降档」，并给中英对照关键词（API integration / API 对接、integrate / 集成、support / 支持）。② 提取串味：在「结构化提取」prompt 说明「留言可能中英混杂，请统一按中文语义提取字段」。</t>
  </si>
  <si>
    <t>TC-19</t>
  </si>
  <si>
    <t>API集成</t>
  </si>
  <si>
    <t>必填字段缺失被拦</t>
  </si>
  <si>
    <t>（有意缺传 lead_raw 字段）</t>
  </si>
  <si>
    <t>接口返回 HTTP 400 invalid_param，错误信息明确；不进入工作流</t>
  </si>
  <si>
    <t>验证参数校验层在最外层生效，避免脏请求消耗模型额度</t>
  </si>
  <si>
    <t>预判：接口在网关层返回 HTTP 400 invalid_param，指明缺失字段，请求不进入工作流、不消耗模型额度。风险：若 start 节点未设 required，脏请求会一路跑到第一个 LLM 才失败，白烧一次额度并留下脏日志。</t>
  </si>
  <si>
    <t>开始节点（required 配置）/ API 网关校验</t>
  </si>
  <si>
    <t>① 错误信息含糊：给 start 节点每个变量配中文 label（如「客户留言」），400 报错会带上 label，前端可直读。② 校验发生在流程内：把 6 个字段全部设为 required；前端提交前再做一次非空校验，双保险。</t>
  </si>
  <si>
    <t>TC-20</t>
  </si>
  <si>
    <t>六字段正常调用出分</t>
  </si>
  <si>
    <t>预约产品演示、打开报价邮件</t>
  </si>
  <si>
    <t>我们是连锁零售企业，现有会员系统想接入你们的CRM，需要通过API把线下门店订单同步过来，另外想了解报价，希望本周安排演示</t>
  </si>
  <si>
    <t>outputs 含 sql_total_score / sql_grade / intent_tag / followup_advice；变量名带分支前缀且全局唯一；线上基线 73 分</t>
  </si>
  <si>
    <t>验证 API 契约与结束节点输出完整性（对应缺陷 D-06 的回归验证）</t>
  </si>
  <si>
    <t>预判：线上基线 73 分 SQL，与本地一致；端到端约 98 秒，必须 streaming 调用。风险：结束节点输出变量前缀被改动（去前缀或改重名）时，前端 pick() 取不到值 → 显示 0 分或空白；推理模型还会让分数比本地偏保守 5 分左右。</t>
  </si>
  <si>
    <t>结束节点（输出契约） / 模型供应商</t>
  </si>
  <si>
    <t>① 前端取不到分：核对 3 个结束节点输出变量是否仍为 sql_/mql_/invalid_ 前缀且全局唯一（Dify 要求工作流内输出变量名全局唯一）。② 分数偏离本地基线 &gt;5：对比线上与本地模型差异；线上推理模型偏保守，建议换非思考模式（qwen-turbo / glm-4-flash）后重新发布。③ 契约防回归：把这 4 个字段名写进「通过标准」的「输出变量完整性」条目，每次发布后跑一遍 TC-20。</t>
  </si>
  <si>
    <t>TC-21</t>
  </si>
  <si>
    <t>流式事件完整（streaming）</t>
  </si>
  <si>
    <t>同上（金牌用例）</t>
  </si>
  <si>
    <t>SSE 事件含 10 个 node_finished + 1 个 workflow_finished，无 error 事件</t>
  </si>
  <si>
    <t>验证流式链路完整性，替代会超时的 blocking 模式（对应缺陷 D-04）</t>
  </si>
  <si>
    <t>预判：SSE 事件应含 10 个 node_finished + 1 个 workflow_finished，无 error 事件。风险：中间节点失败时，Dify 仍可能返回 HTTP 200 而以事件形式报错，前端若只判断 HTTP 状态码就会「静默空白」，用户看不到任何原因。</t>
  </si>
  <si>
    <t>全链路（事件流）/ 前端 SSE 解析</t>
  </si>
  <si>
    <t>① 前端必须逐事件解析：node_finished 更新进度、workflow_finished 取 outputs、error/workflow_failed 立即中断并展示可读原因。② 网关/代理的 idle timeout 需 &gt;120 秒，否则长任务会被中途掐断（表现就是 RemoteDisconnected）。③ 进度可见性：按钮上实时显示「已跑完：节点名」，把 98 秒的等待变成可感知的过程。</t>
  </si>
  <si>
    <t>TC-22</t>
  </si>
  <si>
    <t>模型额度耗尽可读报错</t>
  </si>
  <si>
    <t>任意留言</t>
  </si>
  <si>
    <t>返回 HTTP 400 Model quota exceeded；前端应显示明确提示而非白屏</t>
  </si>
  <si>
    <t>负向测试：额度/供应商异常时的可观测性（对应缺陷 D-03）</t>
  </si>
  <si>
    <t>预判：HTTP 400「Model quota has been exceeded」，属可读报错。风险：额度耗尽发生在 LLM 节点时，可能以 workflow_finished(status=failed) 形式返回而非 400；前端若只按 !res.ok 判断就会漏掉，出现白屏。</t>
  </si>
  <si>
    <t>模型供应商配置 / LLM 节点 / 前端错误分支</t>
  </si>
  <si>
    <t>① 换自有额度：配置智谱或通义（DashScope）供应商，把 4 个 LLM 节点与 rerank 节点全部换成自有 Key 后重新发布。② 前端兜底：catch 里统一展示可读提示，并附带「请检查模型额度或 API Key」的下一步指引，禁止白屏。③ 额度监控：演示前预留 10 次调用余量，避免讲到一半额度耗尽。</t>
  </si>
  <si>
    <t>TC-23</t>
  </si>
  <si>
    <t>推理过程剥离验证</t>
  </si>
  <si>
    <t>前端展示的 followup_advice 不含 &lt;think&gt; 片段；剥离后正文完整可读（线上原始输出含 think）</t>
  </si>
  <si>
    <t>验证推理型模型思维链泄露的兜底处理（对应缺陷 D-05）</t>
  </si>
  <si>
    <t>预判：线上原始 followup_advice 含 &lt;think&gt;…&lt;/think&gt; 大段推理文本，前端 clean() 剥离后正文完整可读。风险：模型有时只输出未闭合的 &lt;think（没有闭合标签），只匹配成对标签的正则会漏掉，页面仍会露出半截推理。</t>
  </si>
  <si>
    <t>跟进建议生成（prompt）/ LLM 节点模型选择</t>
  </si>
  <si>
    <t>① 前端兜底：clean() 同时处理「成对标签」与「未闭合标签」两种情况（已实现）。② 根治一：在「跟进建议生成」prompt 加「禁止输出任何思考过程与自述，只输出最终话术」。③ 根治二：把该节点换成非思考模式模型——顺带解决 98 秒耗时问题。</t>
  </si>
  <si>
    <t>TC-24</t>
  </si>
  <si>
    <t>无效/过期密钥被拒</t>
  </si>
  <si>
    <t>返回 HTTP 401，提示未授权；前端提示密钥失效</t>
  </si>
  <si>
    <t>负向测试：鉴权边界，防止密钥轮换后静默失败</t>
  </si>
  <si>
    <t>预判：返回 HTTP 401（未授权）。风险：Dify 对错误 Key 也可能返回 400 invalid_param，前端若统一按「网络失败」提示会误导排查方向；密钥轮换后单页与多页两处常量常漏改一处。</t>
  </si>
  <si>
    <t>鉴权层 / 前端错误分支</t>
  </si>
  <si>
    <t>① 分类提示：前端区分 401（密钥失效）/ 400（参数问题）/ 5xx（服务异常）三类文案，各自给下一步动作。② 防漏改：把 API Key、API URL 抽成两处页面共用的公共常量（或改走后端中转），轮换时只改一处。③ 长期：正式交付改为后端中转，前端不出现任何 Key（见「优化动作清单」最后一条）。</t>
  </si>
  <si>
    <t>TC-25</t>
  </si>
  <si>
    <t>重复提交结果一致性</t>
  </si>
  <si>
    <t>同上（金牌用例，连发 3 次）</t>
  </si>
  <si>
    <t>3 次等级一致，总分极差 ≤5；无 5xx</t>
  </si>
  <si>
    <t>验证温度与解析稳定性——分数抖动会直接摧毁销售对系统的信任</t>
  </si>
  <si>
    <t>预判：连发 3 次等级一致（SQL），总分极差 ≤5。风险：推理型模型 + 温度偏高时极差可能 &gt;5，甚至等级跳变——销售看到「同一条线索三个分数」会立刻不信这套系统，这是最伤信任的失败模式。</t>
  </si>
  <si>
    <t>意图评分 / 跟进建议生成（温度与稳定性）</t>
  </si>
  <si>
    <t>① 温度统一降到 0.2（4 个 LLM 节点逐个检查，含 rerank）。② 意图档位补 few-shot 让边界互斥，减少跨档漂移。③ 极差仍 &gt;5：在「总分汇总」把意图分离散成 10/20/30 三档，用牺牲一点精度换稳定性（销售场景里稳定 &gt; 精确）。</t>
  </si>
  <si>
    <t>TC-26</t>
  </si>
  <si>
    <t>线上无效线索分流</t>
  </si>
  <si>
    <t>你好，我是大学生，正在做毕业设计，想了解你们CRM的功能架构做参考</t>
  </si>
  <si>
    <t>outputs 走 invalid_ 前缀分支，filter_reason 有内容，不产生话术</t>
  </si>
  <si>
    <t>验证线上环境的无效过滤分支，避免垃圾线索进入销售池</t>
  </si>
  <si>
    <t>预判：走 invalid_ 前缀分支，filter_reason 有内容，不产生话术、不触发检索（省一次 LLM）。风险：若「总分汇总」与「分级分流」两处阈值不一致，会出现「标签写无效、却走了 MQL 支线并生成培育话术」的错位——这也是三个结束节点输出变量必须加前缀的原因之一。</t>
  </si>
  <si>
    <t>分级分流（if-else）/ 总分汇总</t>
  </si>
  <si>
    <t>① 出现「无效却生成话术」：同步「总分汇总」if-else 与「分级分流」两处阈值，两处必须永远一致。② filter_reason 为空：在「结束(无效过滤)」节点补默认文案（如「线索信息不足，未达跟进标准」），保证前端永远有内容可展示。③ 覆盖噪声：叠加「意图分 ≤5 强制 INVALID」规则，把闲聊、乱码类线索也锁在无效分支。</t>
  </si>
  <si>
    <t>序号</t>
  </si>
  <si>
    <t>执行时间</t>
  </si>
  <si>
    <t>执行环境</t>
  </si>
  <si>
    <t>执行方式</t>
  </si>
  <si>
    <t>输入摘要</t>
  </si>
  <si>
    <t>响应状态</t>
  </si>
  <si>
    <t>输出 / 结果摘要</t>
  </si>
  <si>
    <t>耗时(s)</t>
  </si>
  <si>
    <t>结论</t>
  </si>
  <si>
    <t>关联缺陷</t>
  </si>
  <si>
    <t>2026-09-28</t>
  </si>
  <si>
    <t>本地</t>
  </si>
  <si>
    <t>run_tests.py（1:1 复刻 DSL 评分逻辑）</t>
  </si>
  <si>
    <t>20 条用例 · 第一轮</t>
  </si>
  <si>
    <t>成功</t>
  </si>
  <si>
    <t>18/20 通过（90%）</t>
  </si>
  <si>
    <t>未通过：TC-07 阈值敏感区跳变、TC-17 兜底路径</t>
  </si>
  <si>
    <t>D-09</t>
  </si>
  <si>
    <t>run_tests.py（补档位例句后复测）</t>
  </si>
  <si>
    <t>20 条用例 · 第二轮</t>
  </si>
  <si>
    <t>20/20 通过（100%）</t>
  </si>
  <si>
    <t>达成 POC 验收标准（关键用例 100% 命中）</t>
  </si>
  <si>
    <t>—</t>
  </si>
  <si>
    <t>2026-10-02 09:47</t>
  </si>
  <si>
    <t>Dify 云端</t>
  </si>
  <si>
    <t>API blocking · 6 字段（旧 Key）</t>
  </si>
  <si>
    <t>金牌用例（制造/500人+/IT负责人）</t>
  </si>
  <si>
    <t>HTTP 400 invalid_param</t>
  </si>
  <si>
    <t>input_text is required in input form</t>
  </si>
  <si>
    <t>线上仍为旧发布版本，画布改动未生效</t>
  </si>
  <si>
    <t>D-01 / D-02</t>
  </si>
  <si>
    <t>2026-10-02 09:50</t>
  </si>
  <si>
    <t>API blocking · input_text（旧 Key）</t>
  </si>
  <si>
    <t>同上一段留言文本</t>
  </si>
  <si>
    <t>succeeded</t>
  </si>
  <si>
    <t>仅返回 summary，无任何评分字段</t>
  </si>
  <si>
    <t>确证线上运行的是旧「留言摘要」工作流</t>
  </si>
  <si>
    <t>2026-10-02 10:20</t>
  </si>
  <si>
    <t>API blocking · 6 字段（新应用 Key）</t>
  </si>
  <si>
    <t>金牌用例</t>
  </si>
  <si>
    <t>Model quota has been exceeded</t>
  </si>
  <si>
    <t>Sandbox 免费模型额度耗尽（参数校验已通过）</t>
  </si>
  <si>
    <t>D-03</t>
  </si>
  <si>
    <t>2026-10-02 10:40</t>
  </si>
  <si>
    <t>API blocking · 6 字段</t>
  </si>
  <si>
    <t>RemoteDisconnected</t>
  </si>
  <si>
    <t>远端断开、无响应（连接被掐断）</t>
  </si>
  <si>
    <t>blocking 模式云端 100 秒上限，完整评分约需 98 秒</t>
  </si>
  <si>
    <t>D-04</t>
  </si>
  <si>
    <t>2026-10-02 11:00</t>
  </si>
  <si>
    <t>API streaming · 6 字段（最新 Key）</t>
  </si>
  <si>
    <t>73 分 / SQL / 意图=一般了解 / 跟进话术已生成；10 节点全 success</t>
  </si>
  <si>
    <t>端到端打通，结果与本地基线一致</t>
  </si>
  <si>
    <t>D-05</t>
  </si>
  <si>
    <t>2026-10-02 11:15</t>
  </si>
  <si>
    <t>前端页面（file:// 直连）</t>
  </si>
  <si>
    <t>浏览器 fetch streaming + SSE 解析</t>
  </si>
  <si>
    <t>渲染成功</t>
  </si>
  <si>
    <t>环形图 73 分 / SQL 徽章 / 话术已剥离 think 片段</t>
  </si>
  <si>
    <t>演示链路（单页 + 三页应用）可用</t>
  </si>
  <si>
    <t>缺陷编号</t>
  </si>
  <si>
    <t>发现时间</t>
  </si>
  <si>
    <t>严重级</t>
  </si>
  <si>
    <t>现象</t>
  </si>
  <si>
    <t>根因</t>
  </si>
  <si>
    <t>影响面</t>
  </si>
  <si>
    <t>修复动作</t>
  </si>
  <si>
    <t>状态</t>
  </si>
  <si>
    <t>验证结果</t>
  </si>
  <si>
    <t>D-01</t>
  </si>
  <si>
    <t>2026-10-02</t>
  </si>
  <si>
    <t>阻断</t>
  </si>
  <si>
    <t>线上 API 调用报 input_text is required，且仅返回 summary</t>
  </si>
  <si>
    <t>画布改动后未点「发布 → 发布更新」，API 始终运行上一次发布的快照</t>
  </si>
  <si>
    <t>线上评分能力完全缺失，前端只能拿到摘要</t>
  </si>
  <si>
    <t>画布右上角「发布」→ 弹窗内点「发布更新」</t>
  </si>
  <si>
    <t>已修复</t>
  </si>
  <si>
    <t>6 字段调用通过参数校验</t>
  </si>
  <si>
    <t>D-02</t>
  </si>
  <si>
    <t>前端调用结果与画布配置不一致</t>
  </si>
  <si>
    <t>重新导入 DSL 建了新应用，前端仍在使用旧应用的 API Key</t>
  </si>
  <si>
    <t>调用打到旧应用，评分链路永远不生效</t>
  </si>
  <si>
    <t>改用新应用密钥，同步替换单页/多页两处前端常量</t>
  </si>
  <si>
    <t>streaming 实测成功返回评分</t>
  </si>
  <si>
    <t>HTTP 400：Model quota has been exceeded</t>
  </si>
  <si>
    <t>Dify Sandbox 免费 200 次官方模型调用额度被测试耗尽</t>
  </si>
  <si>
    <t>任何评分请求都无法执行</t>
  </si>
  <si>
    <t>配置自有模型供应商（智谱/通义）并把 4 个 LLM 节点换成自有模型后重新发布</t>
  </si>
  <si>
    <t>复测 10 节点全部 success</t>
  </si>
  <si>
    <t>高</t>
  </si>
  <si>
    <t>调用返回 RemoteDisconnected（远端无响应断开）</t>
  </si>
  <si>
    <t>blocking 模式受云端 100 秒上限约束，而完整评分耗时约 98 秒，处于临界</t>
  </si>
  <si>
    <t>偶发调用失败、前端白屏</t>
  </si>
  <si>
    <t>前端改为 streaming（SSE），并实时显示「已跑完：节点名」进度</t>
  </si>
  <si>
    <t>SSE 事件完整（10 节点 + 1 完成事件）</t>
  </si>
  <si>
    <t>中</t>
  </si>
  <si>
    <t>话术输出中夹带 &lt;think&gt;…&lt;/think&gt; 推理过程大段文本</t>
  </si>
  <si>
    <t>使用推理型模型，思维链随正文一并输出</t>
  </si>
  <si>
    <t>演示观感差、暴露内部提示工程细节</t>
  </si>
  <si>
    <t>前端 render 增加 clean()：剥离闭合与未闭合的 think 段</t>
  </si>
  <si>
    <t>页面展示干净话术</t>
  </si>
  <si>
    <t>D-06</t>
  </si>
  <si>
    <t>发布检查清单报 6 条「变量重复」</t>
  </si>
  <si>
    <t>3 个结束节点均输出 total_score / grade，而 Dify 要求工作流内输出变量名全局唯一</t>
  </si>
  <si>
    <t>工作流无法发布</t>
  </si>
  <si>
    <t>输出变量加分支前缀：sql_ / mql_ / invalid_</t>
  </si>
  <si>
    <t>10 个输出变量全局唯一、校验通过</t>
  </si>
  <si>
    <t>D-07</t>
  </si>
  <si>
    <t>知识库节点报 dataset_ids 为空</t>
  </si>
  <si>
    <t>「产品知识检索」节点未绑定任何知识库</t>
  </si>
  <si>
    <t>无法发布；RAG 卖点失效</t>
  </si>
  <si>
    <t>云端建库（合并版文档）并绑定检索节点</t>
  </si>
  <si>
    <t>检索节点返回结果非空</t>
  </si>
  <si>
    <t>D-08</t>
  </si>
  <si>
    <t>前端报 Cannot access 'arc' before initialization</t>
  </si>
  <si>
    <t>兜底分支引用了同函数内后置声明的 const 变量，触发暂时性死区（TDZ）</t>
  </si>
  <si>
    <t>页面报错、结果区无法渲染</t>
  </si>
  <si>
    <t>改为 document.getElementById('arc') 即时获取元素</t>
  </si>
  <si>
    <t>JS 语法与运行校验通过</t>
  </si>
  <si>
    <t>本地第一轮 2 条用例未通过（阈值敏感区 / 兜底路径）</t>
  </si>
  <si>
    <t>意图档位描述边界重叠；提示词未给出输出格式示例</t>
  </si>
  <si>
    <t>通过率 90%，未达验收标准</t>
  </si>
  <si>
    <t>补每档例句（few-shot）、强化输出格式约束后复测</t>
  </si>
  <si>
    <t>第二轮 20/20 通过（100%）</t>
  </si>
  <si>
    <t>标准</t>
  </si>
  <si>
    <t>口径 / 为什么这么定</t>
  </si>
  <si>
    <t>关键用例通过率</t>
  </si>
  <si>
    <t>TC-01（SQL）、TC-05/TC-26（无效）必须 100%</t>
  </si>
  <si>
    <t>业务命门：漏掉高价值客户 / 放行垃圾线索的代价最大</t>
  </si>
  <si>
    <t>等级判定一致率</t>
  </si>
  <si>
    <t>≥ 80%（AI vs 人工双盲）</t>
  </si>
  <si>
    <t>POC 期最实用的指标——销售认不认可，比数学准确率更重要</t>
  </si>
  <si>
    <t>分数抖动</t>
  </si>
  <si>
    <t>同一条跑 3 次，极差 ≤ ±5 分</t>
  </si>
  <si>
    <t>分数飘忽销售就不信，可解释性直接崩掉</t>
  </si>
  <si>
    <t>数值边界不越界</t>
  </si>
  <si>
    <t>属性分 0-45、行为分 0-25、意图分 0-30、总分 ≤100</t>
  </si>
  <si>
    <t>防止封顶/夹紧逻辑失效导致总分爆表</t>
  </si>
  <si>
    <t>兜底命中率</t>
  </si>
  <si>
    <t>≤ 5%</t>
  </si>
  <si>
    <t>兜底太多说明提示词约束不足或模型能力不够</t>
  </si>
  <si>
    <t>单条处理耗时</t>
  </si>
  <si>
    <t>本地 ≤30 秒；云端端到端 ≤120 秒</t>
  </si>
  <si>
    <t>本地对齐案例文档验收标准；云端受模型推理与检索影响放宽</t>
  </si>
  <si>
    <t>输出变量完整性</t>
  </si>
  <si>
    <t>3 条分支输出字段齐全，变量名全局唯一</t>
  </si>
  <si>
    <t>结束节点输出是 API 消费契约，缺失即前端断链</t>
  </si>
  <si>
    <t>错误可读性</t>
  </si>
  <si>
    <t>4xx 返回明确 message，前端展示可读提示</t>
  </si>
  <si>
    <t>额度/密钥/参数异常时不能白屏，POC 现场要能自解释</t>
  </si>
  <si>
    <t>内容安全</t>
  </si>
  <si>
    <t>话术不含思维链、不编造知识库未覆盖的功能</t>
  </si>
  <si>
    <t>RAG 幻觉与推理过程泄露都会直接摧毁客户信任</t>
  </si>
  <si>
    <t>可归因性</t>
  </si>
  <si>
    <t>每条用例都能定位到具体节点并给出改法</t>
  </si>
  <si>
    <t>报告的价值不在「发现失败」，而在「失败后 5 分钟内能改对」——预判/卡点/方案三列就是这个承诺的载体</t>
  </si>
  <si>
    <t>症状</t>
  </si>
  <si>
    <t>可能原因</t>
  </si>
  <si>
    <t>对应动作</t>
  </si>
  <si>
    <t>关联用例</t>
  </si>
  <si>
    <t>端到端耗时约 98 秒，偏长</t>
  </si>
  <si>
    <t>推理型模型思考耗时占大头</t>
  </si>
  <si>
    <t>把 4 个 LLM 节点换成非思考模式（qwen-turbo/qwen-flash 关思考，或 glm-4-flash），预计可降到 40 秒内</t>
  </si>
  <si>
    <t>TC-20 / TC-21 / TC-25</t>
  </si>
  <si>
    <t>高意向意图被判「一般了解」</t>
  </si>
  <si>
    <t>意图档位描述偏保守、边界重叠</t>
  </si>
  <si>
    <t>在意图评分 system prompt 里给每档补一个例句（few-shot），并把「集成/报价/演示」明确写入最高档触发词</t>
  </si>
  <si>
    <t>TC-01 / TC-02 / TC-16 / TC-18</t>
  </si>
  <si>
    <t>话术带出推理过程</t>
  </si>
  <si>
    <t>模型为推理型，思维链随正文输出</t>
  </si>
  <si>
    <t>前端已做 think 剥离兜底；根治方式是换模型或在 prompt 中要求「只输出最终话术」</t>
  </si>
  <si>
    <t>分数普遍偏低 / 高意向被判 MQL</t>
  </si>
  <si>
    <t>阈值太保守，或缺行为数据</t>
  </si>
  <si>
    <t>用真实成交样本回测校准阈值；确认客户能否提供行为字段（缺行为分则总分上限只有 75）</t>
  </si>
  <si>
    <t>TC-03 / TC-04 / TC-07</t>
  </si>
  <si>
    <t>同一条线索分数每次不一样</t>
  </si>
  <si>
    <t>温度太高 / 档位边界模糊</t>
  </si>
  <si>
    <t>温度降到 0.2；补齐 few-shot 例句让档位互斥；必要时把意图分离散成 10/20/30 三档</t>
  </si>
  <si>
    <t>TC-25 / TC-07</t>
  </si>
  <si>
    <t>话术答非所问</t>
  </si>
  <si>
    <t>检索没取到对的资料</t>
  </si>
  <si>
    <t>检查知识库分段粒度、开启 rerank、把检索 query 从留言原文换成提取后的关键词</t>
  </si>
  <si>
    <t>TC-01 / TC-16</t>
  </si>
  <si>
    <t>话术编造产品功能</t>
  </si>
  <si>
    <t>提示词约束不够</t>
  </si>
  <si>
    <t>强化「资料未覆盖的写需与产品团队确认」；补充知识库覆盖该话题</t>
  </si>
  <si>
    <t>TC-01 / TC-26</t>
  </si>
  <si>
    <t>经常走兜底分支</t>
  </si>
  <si>
    <t>提示词没给输出格式示例</t>
  </si>
  <si>
    <t>提示词里贴标准 JSON 示例；或换支持结构化输出的模型；同时把兜底率输出到结束节点便于统计</t>
  </si>
  <si>
    <t>无效线索也消耗模型额度</t>
  </si>
  <si>
    <t>分支位置太靠后</t>
  </si>
  <si>
    <t>把可前置的规则判断提前；叠加「意图分 ≤5 强制 INVALID」规则；注意提取与意图评分两次调用不可避免</t>
  </si>
  <si>
    <t>TC-05 / TC-13 / TC-14 / TC-19 / TC-22 / TC-26</t>
  </si>
  <si>
    <t>演示链路依赖写死在前端的 Key</t>
  </si>
  <si>
    <t>Demo 形态限制</t>
  </si>
  <si>
    <t>正式交付改为后端中转（Node/Python 云函数）隐藏 Key，并加限流与调用日志；轮换期先抽成两页共用常量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</si>
</sst>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7">
    <font>
      <sz val="11"/>
      <color theme="1"/>
      <name val="宋体"/>
      <charset val="134"/>
      <scheme val="minor"/>
    </font>
    <font>
      <b/>
      <sz val="10.5"/>
      <color rgb="FFFFFFFF"/>
      <name val="宋体"/>
      <charset val="134"/>
      <scheme val="minor"/>
    </font>
    <font>
      <b/>
      <sz val="10.5"/>
      <name val="宋体"/>
      <charset val="134"/>
      <scheme val="minor"/>
    </font>
    <font>
      <sz val="10.5"/>
      <name val="宋体"/>
      <charset val="134"/>
      <scheme val="minor"/>
    </font>
    <font>
      <b/>
      <sz val="14"/>
      <color rgb="FF1F3864"/>
      <name val="宋体"/>
      <charset val="134"/>
      <scheme val="minor"/>
    </font>
    <font>
      <sz val="10"/>
      <color rgb="FF595959"/>
      <name val="宋体"/>
      <charset val="134"/>
      <scheme val="minor"/>
    </font>
    <font>
      <b/>
      <sz val="11.5"/>
      <color rgb="FF1F386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EEF7E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F2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3" fillId="0" borderId="1" xfId="0" applyNumberFormat="1" applyFont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right" vertical="top"/>
    </xf>
    <xf numFmtId="0" fontId="2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2" fillId="8" borderId="1" xfId="0" applyNumberFormat="1" applyFont="1" applyFill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sz val="10"/>
        <color rgb="FF006100"/>
      </font>
      <fill>
        <patternFill patternType="solid">
          <fgColor rgb="FFC6EFCE"/>
        </patternFill>
      </fill>
    </dxf>
    <dxf>
      <font>
        <sz val="10"/>
        <color rgb="FF9C6500"/>
      </font>
      <fill>
        <patternFill patternType="solid">
          <fgColor rgb="FFFFEB9C"/>
        </patternFill>
      </fill>
    </dxf>
    <dxf>
      <font>
        <sz val="10"/>
        <color rgb="FF9C0006"/>
      </font>
      <fill>
        <patternFill patternType="solid">
          <fgColor rgb="FFFFC7CE"/>
        </patternFill>
      </fill>
    </dxf>
    <dxf>
      <font>
        <sz val="10"/>
        <color rgb="FF1F4E79"/>
      </font>
      <fill>
        <patternFill patternType="solid">
          <fgColor rgb="FFDEEBF7"/>
        </patternFill>
      </fill>
    </dxf>
    <dxf>
      <font>
        <b val="1"/>
        <sz val="10"/>
        <color rgb="FF006100"/>
      </font>
      <fill>
        <patternFill patternType="solid">
          <fgColor rgb="FFC6EFCE"/>
        </patternFill>
      </fill>
    </dxf>
    <dxf>
      <font>
        <b val="1"/>
        <sz val="10"/>
        <color rgb="FF9C0006"/>
      </font>
      <fill>
        <patternFill patternType="solid">
          <fgColor rgb="FFFFC7CE"/>
        </patternFill>
      </fill>
    </dxf>
    <dxf>
      <font>
        <b val="1"/>
        <sz val="10"/>
        <color rgb="FF9C6500"/>
      </font>
      <fill>
        <patternFill patternType="solid">
          <fgColor rgb="FFFFEB9C"/>
        </patternFill>
      </fill>
    </dxf>
    <dxf>
      <font>
        <sz val="10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用例分布（按层次）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测试总结!$B$25</c:f>
              <c:strCache>
                <c:ptCount val="1"/>
                <c:pt idx="0">
                  <c:v>用例数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测试总结!$A$26:$A$29</c:f>
              <c:strCache>
                <c:ptCount val="4"/>
                <c:pt idx="0">
                  <c:v>正常</c:v>
                </c:pt>
                <c:pt idx="1">
                  <c:v>边界</c:v>
                </c:pt>
                <c:pt idx="2">
                  <c:v>异常</c:v>
                </c:pt>
                <c:pt idx="3">
                  <c:v>集成</c:v>
                </c:pt>
              </c:strCache>
            </c:strRef>
          </c:cat>
          <c:val>
            <c:numRef>
              <c:f>测试总结!$B$26:$B$29</c:f>
              <c:numCache>
                <c:formatCode>0</c:formatCode>
                <c:ptCount val="4"/>
                <c:pt idx="0">
                  <c:v>6</c:v>
                </c:pt>
                <c:pt idx="1">
                  <c:v>8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用例数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f01fd0d-2f16-4990-bf57-24a94fdb901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374650</xdr:colOff>
      <xdr:row>23</xdr:row>
      <xdr:rowOff>82550</xdr:rowOff>
    </xdr:from>
    <xdr:ext cx="4320000" cy="2534900"/>
    <xdr:graphicFrame>
      <xdr:nvGraphicFramePr>
        <xdr:cNvPr id="2" name="Chart 1"/>
        <xdr:cNvGraphicFramePr/>
      </xdr:nvGraphicFramePr>
      <xdr:xfrm>
        <a:off x="10293350" y="4286250"/>
        <a:ext cx="4319905" cy="2534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15" workbookViewId="0">
      <selection activeCell="A1" sqref="A1:F1"/>
    </sheetView>
  </sheetViews>
  <sheetFormatPr defaultColWidth="9" defaultRowHeight="14" outlineLevelCol="5"/>
  <cols>
    <col min="1" max="1" width="22" customWidth="1"/>
    <col min="2" max="6" width="24" customWidth="1"/>
  </cols>
  <sheetData>
    <row r="1" ht="22" customHeight="1" spans="1:1">
      <c r="A1" s="15" t="s">
        <v>0</v>
      </c>
    </row>
    <row r="2" spans="1:1">
      <c r="A2" s="16" t="s">
        <v>1</v>
      </c>
    </row>
    <row r="4" ht="14.5" spans="1:1">
      <c r="A4" s="17" t="s">
        <v>2</v>
      </c>
    </row>
    <row r="5" spans="1:6">
      <c r="A5" s="2" t="s">
        <v>3</v>
      </c>
      <c r="B5" s="3" t="s">
        <v>4</v>
      </c>
      <c r="C5" s="18"/>
      <c r="D5" s="18"/>
      <c r="E5" s="18"/>
      <c r="F5" s="18"/>
    </row>
    <row r="6" spans="1:6">
      <c r="A6" s="2" t="s">
        <v>5</v>
      </c>
      <c r="B6" s="3" t="s">
        <v>6</v>
      </c>
      <c r="C6" s="18"/>
      <c r="D6" s="18"/>
      <c r="E6" s="18"/>
      <c r="F6" s="18"/>
    </row>
    <row r="7" spans="1:6">
      <c r="A7" s="2" t="s">
        <v>7</v>
      </c>
      <c r="B7" s="3" t="s">
        <v>8</v>
      </c>
      <c r="C7" s="18"/>
      <c r="D7" s="18"/>
      <c r="E7" s="18"/>
      <c r="F7" s="18"/>
    </row>
    <row r="8" spans="1:6">
      <c r="A8" s="2" t="s">
        <v>9</v>
      </c>
      <c r="B8" s="3" t="s">
        <v>10</v>
      </c>
      <c r="C8" s="18"/>
      <c r="D8" s="18"/>
      <c r="E8" s="18"/>
      <c r="F8" s="18"/>
    </row>
    <row r="9" spans="1:6">
      <c r="A9" s="2" t="s">
        <v>11</v>
      </c>
      <c r="B9" s="3" t="s">
        <v>12</v>
      </c>
      <c r="C9" s="18"/>
      <c r="D9" s="18"/>
      <c r="E9" s="18"/>
      <c r="F9" s="18"/>
    </row>
    <row r="10" spans="1:6">
      <c r="A10" s="2" t="s">
        <v>13</v>
      </c>
      <c r="B10" s="3" t="s">
        <v>14</v>
      </c>
      <c r="C10" s="18"/>
      <c r="D10" s="18"/>
      <c r="E10" s="18"/>
      <c r="F10" s="18"/>
    </row>
    <row r="11" spans="1:6">
      <c r="A11" s="2" t="s">
        <v>15</v>
      </c>
      <c r="B11" s="3" t="s">
        <v>16</v>
      </c>
      <c r="C11" s="18"/>
      <c r="D11" s="18"/>
      <c r="E11" s="18"/>
      <c r="F11" s="18"/>
    </row>
    <row r="12" spans="1:6">
      <c r="A12" s="2" t="s">
        <v>17</v>
      </c>
      <c r="B12" s="3" t="s">
        <v>18</v>
      </c>
      <c r="C12" s="18"/>
      <c r="D12" s="18"/>
      <c r="E12" s="18"/>
      <c r="F12" s="18"/>
    </row>
    <row r="13" ht="14.5" spans="1:1">
      <c r="A13" s="17" t="s">
        <v>19</v>
      </c>
    </row>
    <row r="14" spans="1:6">
      <c r="A14" s="1" t="s">
        <v>20</v>
      </c>
      <c r="B14" s="1" t="s">
        <v>21</v>
      </c>
      <c r="C14" s="1" t="s">
        <v>22</v>
      </c>
      <c r="D14" s="19"/>
      <c r="E14" s="19"/>
      <c r="F14" s="20"/>
    </row>
    <row r="15" spans="1:6">
      <c r="A15" s="2" t="s">
        <v>23</v>
      </c>
      <c r="B15" s="21">
        <f>COUNTA(测试用例集!$A$2:$A$29)</f>
        <v>28</v>
      </c>
      <c r="C15" s="3" t="s">
        <v>24</v>
      </c>
      <c r="D15" s="18"/>
      <c r="E15" s="18"/>
      <c r="F15" s="18"/>
    </row>
    <row r="16" spans="1:6">
      <c r="A16" s="2" t="s">
        <v>25</v>
      </c>
      <c r="B16" s="21">
        <f>COUNTIF(测试用例集!$T$2:$T$29,"通过")+COUNTIF(测试用例集!$T$2:$T$29,"不通过")</f>
        <v>22</v>
      </c>
      <c r="C16" s="3" t="s">
        <v>26</v>
      </c>
      <c r="D16" s="18"/>
      <c r="E16" s="18"/>
      <c r="F16" s="18"/>
    </row>
    <row r="17" spans="1:6">
      <c r="A17" s="2" t="s">
        <v>27</v>
      </c>
      <c r="B17" s="21">
        <f>COUNTIF(测试用例集!$T$2:$T$29,"通过")</f>
        <v>22</v>
      </c>
      <c r="C17" s="3" t="s">
        <v>28</v>
      </c>
      <c r="D17" s="18"/>
      <c r="E17" s="18"/>
      <c r="F17" s="18"/>
    </row>
    <row r="18" spans="1:6">
      <c r="A18" s="2" t="s">
        <v>29</v>
      </c>
      <c r="B18" s="21">
        <f>COUNTIF(测试用例集!$T$2:$T$29,"不通过")</f>
        <v>0</v>
      </c>
      <c r="C18" s="3" t="s">
        <v>30</v>
      </c>
      <c r="D18" s="18"/>
      <c r="E18" s="18"/>
      <c r="F18" s="18"/>
    </row>
    <row r="19" spans="1:6">
      <c r="A19" s="2" t="s">
        <v>31</v>
      </c>
      <c r="B19" s="21">
        <f>COUNTIF(测试用例集!$T$2:$T$29,"待测")</f>
        <v>6</v>
      </c>
      <c r="C19" s="3" t="s">
        <v>32</v>
      </c>
      <c r="D19" s="18"/>
      <c r="E19" s="18"/>
      <c r="F19" s="18"/>
    </row>
    <row r="20" spans="1:6">
      <c r="A20" s="2" t="s">
        <v>33</v>
      </c>
      <c r="B20" s="22">
        <f>IF(OR(B15="",B15=0,B16=0),"",B17/B16)</f>
        <v>1</v>
      </c>
      <c r="C20" s="3" t="s">
        <v>34</v>
      </c>
      <c r="D20" s="18"/>
      <c r="E20" s="18"/>
      <c r="F20" s="18"/>
    </row>
    <row r="21" spans="1:6">
      <c r="A21" s="2" t="s">
        <v>35</v>
      </c>
      <c r="B21" s="21">
        <f>COUNTIF(测试用例集!$C$2:$C$29,"工作流功能")</f>
        <v>20</v>
      </c>
      <c r="C21" s="3" t="s">
        <v>36</v>
      </c>
      <c r="D21" s="18"/>
      <c r="E21" s="18"/>
      <c r="F21" s="18"/>
    </row>
    <row r="22" spans="1:6">
      <c r="A22" s="2" t="s">
        <v>37</v>
      </c>
      <c r="B22" s="21">
        <f>COUNTIF(测试用例集!$C$2:$C$29,"API集成")</f>
        <v>8</v>
      </c>
      <c r="C22" s="3" t="s">
        <v>38</v>
      </c>
      <c r="D22" s="18"/>
      <c r="E22" s="18"/>
      <c r="F22" s="18"/>
    </row>
    <row r="24" ht="14.5" spans="1:1">
      <c r="A24" s="17" t="s">
        <v>39</v>
      </c>
    </row>
    <row r="25" spans="1:2">
      <c r="A25" s="1" t="s">
        <v>40</v>
      </c>
      <c r="B25" s="1" t="s">
        <v>41</v>
      </c>
    </row>
    <row r="26" spans="1:2">
      <c r="A26" s="5" t="s">
        <v>42</v>
      </c>
      <c r="B26" s="23">
        <f>COUNTIF(测试用例集!$B$2:$B$29,$A26)</f>
        <v>6</v>
      </c>
    </row>
    <row r="27" spans="1:2">
      <c r="A27" s="5" t="s">
        <v>43</v>
      </c>
      <c r="B27" s="23">
        <f>COUNTIF(测试用例集!$B$2:$B$29,$A27)</f>
        <v>8</v>
      </c>
    </row>
    <row r="28" spans="1:2">
      <c r="A28" s="5" t="s">
        <v>44</v>
      </c>
      <c r="B28" s="23">
        <f>COUNTIF(测试用例集!$B$2:$B$29,$A28)</f>
        <v>6</v>
      </c>
    </row>
    <row r="29" spans="1:2">
      <c r="A29" s="5" t="s">
        <v>45</v>
      </c>
      <c r="B29" s="23">
        <f>COUNTIF(测试用例集!$B$2:$B$29,$A29)</f>
        <v>8</v>
      </c>
    </row>
    <row r="31" ht="14.5" spans="1:1">
      <c r="A31" s="17" t="s">
        <v>46</v>
      </c>
    </row>
    <row r="32" spans="1:1">
      <c r="A32" s="24" t="s">
        <v>47</v>
      </c>
    </row>
    <row r="33" spans="1:1">
      <c r="A33" s="24" t="s">
        <v>48</v>
      </c>
    </row>
    <row r="34" spans="1:1">
      <c r="A34" s="24" t="s">
        <v>49</v>
      </c>
    </row>
    <row r="35" spans="1:1">
      <c r="A35" s="24" t="s">
        <v>50</v>
      </c>
    </row>
    <row r="36" spans="1:1">
      <c r="A36" s="24" t="s">
        <v>51</v>
      </c>
    </row>
    <row r="37" spans="1:1">
      <c r="A37" s="24" t="s">
        <v>52</v>
      </c>
    </row>
  </sheetData>
  <mergeCells count="25">
    <mergeCell ref="A1:F1"/>
    <mergeCell ref="A2:F2"/>
    <mergeCell ref="B5:F5"/>
    <mergeCell ref="B6:F6"/>
    <mergeCell ref="B7:F7"/>
    <mergeCell ref="B8:F8"/>
    <mergeCell ref="B9:F9"/>
    <mergeCell ref="B10:F10"/>
    <mergeCell ref="B11:F11"/>
    <mergeCell ref="B12:F12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A32:F32"/>
    <mergeCell ref="A33:F33"/>
    <mergeCell ref="A34:F34"/>
    <mergeCell ref="A35:F35"/>
    <mergeCell ref="A36:F36"/>
    <mergeCell ref="A37:F3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zoomScale="80" zoomScaleNormal="80" workbookViewId="0">
      <pane xSplit="3" ySplit="1" topLeftCell="L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9" customWidth="1"/>
    <col min="2" max="2" width="7" customWidth="1"/>
    <col min="3" max="3" width="11" customWidth="1"/>
    <col min="4" max="4" width="20" customWidth="1"/>
    <col min="5" max="5" width="12" customWidth="1"/>
    <col min="6" max="6" width="11" customWidth="1"/>
    <col min="7" max="7" width="16" customWidth="1"/>
    <col min="8" max="8" width="30" customWidth="1"/>
    <col min="9" max="9" width="42" customWidth="1"/>
    <col min="10" max="10" width="10" customWidth="1"/>
    <col min="11" max="12" width="9" customWidth="1"/>
    <col min="13" max="14" width="40" customWidth="1"/>
    <col min="15" max="15" width="46" customWidth="1"/>
    <col min="16" max="16" width="20" customWidth="1"/>
    <col min="17" max="17" width="62" customWidth="1"/>
    <col min="18" max="20" width="9" customWidth="1"/>
  </cols>
  <sheetData>
    <row r="1" spans="1:20">
      <c r="A1" s="7" t="s">
        <v>53</v>
      </c>
      <c r="B1" s="7" t="s">
        <v>40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  <c r="L1" s="7" t="s">
        <v>63</v>
      </c>
      <c r="M1" s="7" t="s">
        <v>64</v>
      </c>
      <c r="N1" s="7" t="s">
        <v>65</v>
      </c>
      <c r="O1" s="7" t="s">
        <v>66</v>
      </c>
      <c r="P1" s="7" t="s">
        <v>67</v>
      </c>
      <c r="Q1" s="7" t="s">
        <v>68</v>
      </c>
      <c r="R1" s="7" t="s">
        <v>69</v>
      </c>
      <c r="S1" s="7" t="s">
        <v>70</v>
      </c>
      <c r="T1" s="7" t="s">
        <v>71</v>
      </c>
    </row>
    <row r="2" ht="67.5" spans="1:20">
      <c r="A2" s="4" t="s">
        <v>72</v>
      </c>
      <c r="B2" s="4" t="s">
        <v>42</v>
      </c>
      <c r="C2" s="4" t="s">
        <v>73</v>
      </c>
      <c r="D2" s="3" t="s">
        <v>74</v>
      </c>
      <c r="E2" s="3" t="s">
        <v>75</v>
      </c>
      <c r="F2" s="3" t="s">
        <v>76</v>
      </c>
      <c r="G2" s="3" t="s">
        <v>77</v>
      </c>
      <c r="H2" s="3" t="s">
        <v>78</v>
      </c>
      <c r="I2" s="3" t="s">
        <v>79</v>
      </c>
      <c r="J2" s="4" t="s">
        <v>80</v>
      </c>
      <c r="K2" s="8">
        <v>85</v>
      </c>
      <c r="L2" s="8">
        <v>95</v>
      </c>
      <c r="M2" s="3" t="s">
        <v>81</v>
      </c>
      <c r="N2" s="3" t="s">
        <v>82</v>
      </c>
      <c r="O2" s="9" t="s">
        <v>83</v>
      </c>
      <c r="P2" s="10" t="s">
        <v>84</v>
      </c>
      <c r="Q2" s="11" t="s">
        <v>85</v>
      </c>
      <c r="R2" s="12" t="s">
        <v>80</v>
      </c>
      <c r="S2" s="13">
        <v>91</v>
      </c>
      <c r="T2" s="14" t="str">
        <f t="shared" ref="T2:T29" si="0">IF(OR($R2="",$S2=""),"待测",IF(AND(ISNUMBER(SEARCH($R2,$J2)),IF($K2="",TRUE,$S2&gt;=$K2),IF($L2="",TRUE,$S2&lt;=$L2)),"通过","不通过"))</f>
        <v>通过</v>
      </c>
    </row>
    <row r="3" ht="81" spans="1:20">
      <c r="A3" s="4" t="s">
        <v>86</v>
      </c>
      <c r="B3" s="4" t="s">
        <v>42</v>
      </c>
      <c r="C3" s="4" t="s">
        <v>73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  <c r="J3" s="4" t="s">
        <v>80</v>
      </c>
      <c r="K3" s="8">
        <v>70</v>
      </c>
      <c r="L3" s="8">
        <v>85</v>
      </c>
      <c r="M3" s="3" t="s">
        <v>93</v>
      </c>
      <c r="N3" s="3" t="s">
        <v>94</v>
      </c>
      <c r="O3" s="9" t="s">
        <v>95</v>
      </c>
      <c r="P3" s="10" t="s">
        <v>96</v>
      </c>
      <c r="Q3" s="11" t="s">
        <v>97</v>
      </c>
      <c r="R3" s="12" t="s">
        <v>80</v>
      </c>
      <c r="S3" s="13">
        <v>78</v>
      </c>
      <c r="T3" s="14" t="str">
        <f t="shared" si="0"/>
        <v>通过</v>
      </c>
    </row>
    <row r="4" ht="54" spans="1:20">
      <c r="A4" s="4" t="s">
        <v>98</v>
      </c>
      <c r="B4" s="4" t="s">
        <v>42</v>
      </c>
      <c r="C4" s="4" t="s">
        <v>73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  <c r="I4" s="3" t="s">
        <v>104</v>
      </c>
      <c r="J4" s="4" t="s">
        <v>105</v>
      </c>
      <c r="K4" s="8">
        <v>38</v>
      </c>
      <c r="L4" s="8">
        <v>50</v>
      </c>
      <c r="M4" s="3" t="s">
        <v>106</v>
      </c>
      <c r="N4" s="3" t="s">
        <v>107</v>
      </c>
      <c r="O4" s="9" t="s">
        <v>108</v>
      </c>
      <c r="P4" s="10" t="s">
        <v>109</v>
      </c>
      <c r="Q4" s="11" t="s">
        <v>110</v>
      </c>
      <c r="R4" s="12" t="s">
        <v>105</v>
      </c>
      <c r="S4" s="13">
        <v>43</v>
      </c>
      <c r="T4" s="14" t="str">
        <f t="shared" si="0"/>
        <v>通过</v>
      </c>
    </row>
    <row r="5" ht="67.5" spans="1:20">
      <c r="A5" s="4" t="s">
        <v>111</v>
      </c>
      <c r="B5" s="4" t="s">
        <v>42</v>
      </c>
      <c r="C5" s="4" t="s">
        <v>73</v>
      </c>
      <c r="D5" s="3" t="s">
        <v>112</v>
      </c>
      <c r="E5" s="3" t="s">
        <v>113</v>
      </c>
      <c r="F5" s="3" t="s">
        <v>101</v>
      </c>
      <c r="G5" s="3" t="s">
        <v>114</v>
      </c>
      <c r="H5" s="3" t="s">
        <v>103</v>
      </c>
      <c r="I5" s="3" t="s">
        <v>115</v>
      </c>
      <c r="J5" s="4" t="s">
        <v>105</v>
      </c>
      <c r="K5" s="8">
        <v>33</v>
      </c>
      <c r="L5" s="8">
        <v>45</v>
      </c>
      <c r="M5" s="3" t="s">
        <v>116</v>
      </c>
      <c r="N5" s="3" t="s">
        <v>117</v>
      </c>
      <c r="O5" s="9" t="s">
        <v>118</v>
      </c>
      <c r="P5" s="10" t="s">
        <v>119</v>
      </c>
      <c r="Q5" s="11" t="s">
        <v>120</v>
      </c>
      <c r="R5" s="12" t="s">
        <v>105</v>
      </c>
      <c r="S5" s="13">
        <v>33</v>
      </c>
      <c r="T5" s="14" t="str">
        <f t="shared" si="0"/>
        <v>通过</v>
      </c>
    </row>
    <row r="6" ht="54" spans="1:20">
      <c r="A6" s="4" t="s">
        <v>121</v>
      </c>
      <c r="B6" s="4" t="s">
        <v>42</v>
      </c>
      <c r="C6" s="4" t="s">
        <v>73</v>
      </c>
      <c r="D6" s="3" t="s">
        <v>122</v>
      </c>
      <c r="E6" s="3" t="s">
        <v>123</v>
      </c>
      <c r="F6" s="3" t="s">
        <v>124</v>
      </c>
      <c r="G6" s="3" t="s">
        <v>125</v>
      </c>
      <c r="H6" s="3" t="s">
        <v>126</v>
      </c>
      <c r="I6" s="3" t="s">
        <v>127</v>
      </c>
      <c r="J6" s="4" t="s">
        <v>128</v>
      </c>
      <c r="K6" s="8">
        <v>0</v>
      </c>
      <c r="L6" s="8">
        <v>5</v>
      </c>
      <c r="M6" s="3" t="s">
        <v>129</v>
      </c>
      <c r="N6" s="3" t="s">
        <v>130</v>
      </c>
      <c r="O6" s="9" t="s">
        <v>131</v>
      </c>
      <c r="P6" s="10" t="s">
        <v>132</v>
      </c>
      <c r="Q6" s="11" t="s">
        <v>133</v>
      </c>
      <c r="R6" s="12" t="s">
        <v>128</v>
      </c>
      <c r="S6" s="13">
        <v>3</v>
      </c>
      <c r="T6" s="14" t="str">
        <f t="shared" si="0"/>
        <v>通过</v>
      </c>
    </row>
    <row r="7" ht="40.5" spans="1:20">
      <c r="A7" s="4" t="s">
        <v>134</v>
      </c>
      <c r="B7" s="4" t="s">
        <v>42</v>
      </c>
      <c r="C7" s="4" t="s">
        <v>73</v>
      </c>
      <c r="D7" s="3" t="s">
        <v>135</v>
      </c>
      <c r="E7" s="3" t="s">
        <v>136</v>
      </c>
      <c r="F7" s="3" t="s">
        <v>137</v>
      </c>
      <c r="G7" s="3" t="s">
        <v>102</v>
      </c>
      <c r="H7" s="3" t="s">
        <v>126</v>
      </c>
      <c r="I7" s="3" t="s">
        <v>138</v>
      </c>
      <c r="J7" s="4" t="s">
        <v>128</v>
      </c>
      <c r="K7" s="8">
        <v>8</v>
      </c>
      <c r="L7" s="8">
        <v>20</v>
      </c>
      <c r="M7" s="3" t="s">
        <v>139</v>
      </c>
      <c r="N7" s="3" t="s">
        <v>140</v>
      </c>
      <c r="O7" s="9" t="s">
        <v>141</v>
      </c>
      <c r="P7" s="10" t="s">
        <v>142</v>
      </c>
      <c r="Q7" s="11" t="s">
        <v>143</v>
      </c>
      <c r="R7" s="12" t="s">
        <v>128</v>
      </c>
      <c r="S7" s="13">
        <v>15</v>
      </c>
      <c r="T7" s="14" t="str">
        <f t="shared" si="0"/>
        <v>通过</v>
      </c>
    </row>
    <row r="8" ht="67.5" spans="1:20">
      <c r="A8" s="4" t="s">
        <v>144</v>
      </c>
      <c r="B8" s="4" t="s">
        <v>43</v>
      </c>
      <c r="C8" s="4" t="s">
        <v>73</v>
      </c>
      <c r="D8" s="3" t="s">
        <v>145</v>
      </c>
      <c r="E8" s="3" t="s">
        <v>75</v>
      </c>
      <c r="F8" s="3" t="s">
        <v>89</v>
      </c>
      <c r="G8" s="3" t="s">
        <v>77</v>
      </c>
      <c r="H8" s="3" t="s">
        <v>103</v>
      </c>
      <c r="I8" s="3" t="s">
        <v>146</v>
      </c>
      <c r="J8" s="4" t="s">
        <v>147</v>
      </c>
      <c r="K8" s="8">
        <v>55</v>
      </c>
      <c r="L8" s="8">
        <v>65</v>
      </c>
      <c r="M8" s="3" t="s">
        <v>148</v>
      </c>
      <c r="N8" s="3" t="s">
        <v>149</v>
      </c>
      <c r="O8" s="9" t="s">
        <v>150</v>
      </c>
      <c r="P8" s="10" t="s">
        <v>151</v>
      </c>
      <c r="Q8" s="11" t="s">
        <v>152</v>
      </c>
      <c r="R8" s="12" t="s">
        <v>105</v>
      </c>
      <c r="S8" s="13">
        <v>57</v>
      </c>
      <c r="T8" s="14" t="str">
        <f t="shared" si="0"/>
        <v>通过</v>
      </c>
    </row>
    <row r="9" ht="67.5" spans="1:20">
      <c r="A9" s="4" t="s">
        <v>153</v>
      </c>
      <c r="B9" s="4" t="s">
        <v>43</v>
      </c>
      <c r="C9" s="4" t="s">
        <v>73</v>
      </c>
      <c r="D9" s="3" t="s">
        <v>154</v>
      </c>
      <c r="E9" s="3" t="s">
        <v>75</v>
      </c>
      <c r="F9" s="3" t="s">
        <v>89</v>
      </c>
      <c r="G9" s="3" t="s">
        <v>90</v>
      </c>
      <c r="H9" s="3" t="s">
        <v>103</v>
      </c>
      <c r="I9" s="3" t="s">
        <v>155</v>
      </c>
      <c r="J9" s="4" t="s">
        <v>105</v>
      </c>
      <c r="K9" s="8">
        <v>52</v>
      </c>
      <c r="L9" s="8">
        <v>58</v>
      </c>
      <c r="M9" s="3" t="s">
        <v>156</v>
      </c>
      <c r="N9" s="3" t="s">
        <v>157</v>
      </c>
      <c r="O9" s="9" t="s">
        <v>158</v>
      </c>
      <c r="P9" s="10" t="s">
        <v>159</v>
      </c>
      <c r="Q9" s="11" t="s">
        <v>160</v>
      </c>
      <c r="R9" s="12" t="s">
        <v>105</v>
      </c>
      <c r="S9" s="13">
        <v>54</v>
      </c>
      <c r="T9" s="14" t="str">
        <f t="shared" si="0"/>
        <v>通过</v>
      </c>
    </row>
    <row r="10" ht="54" spans="1:20">
      <c r="A10" s="4" t="s">
        <v>161</v>
      </c>
      <c r="B10" s="4" t="s">
        <v>43</v>
      </c>
      <c r="C10" s="4" t="s">
        <v>73</v>
      </c>
      <c r="D10" s="3" t="s">
        <v>162</v>
      </c>
      <c r="E10" s="3" t="s">
        <v>75</v>
      </c>
      <c r="F10" s="3" t="s">
        <v>89</v>
      </c>
      <c r="G10" s="3" t="s">
        <v>90</v>
      </c>
      <c r="H10" s="3" t="s">
        <v>103</v>
      </c>
      <c r="I10" s="3" t="s">
        <v>163</v>
      </c>
      <c r="J10" s="4" t="s">
        <v>80</v>
      </c>
      <c r="K10" s="8">
        <v>67</v>
      </c>
      <c r="L10" s="8">
        <v>72</v>
      </c>
      <c r="M10" s="3" t="s">
        <v>164</v>
      </c>
      <c r="N10" s="3" t="s">
        <v>157</v>
      </c>
      <c r="O10" s="9" t="s">
        <v>165</v>
      </c>
      <c r="P10" s="10" t="s">
        <v>166</v>
      </c>
      <c r="Q10" s="11" t="s">
        <v>167</v>
      </c>
      <c r="R10" s="12" t="s">
        <v>80</v>
      </c>
      <c r="S10" s="13">
        <v>68</v>
      </c>
      <c r="T10" s="14" t="str">
        <f t="shared" si="0"/>
        <v>通过</v>
      </c>
    </row>
    <row r="11" ht="54" spans="1:20">
      <c r="A11" s="4" t="s">
        <v>168</v>
      </c>
      <c r="B11" s="4" t="s">
        <v>43</v>
      </c>
      <c r="C11" s="4" t="s">
        <v>73</v>
      </c>
      <c r="D11" s="3" t="s">
        <v>169</v>
      </c>
      <c r="E11" s="3" t="s">
        <v>88</v>
      </c>
      <c r="F11" s="3" t="s">
        <v>76</v>
      </c>
      <c r="G11" s="3" t="s">
        <v>77</v>
      </c>
      <c r="H11" s="3" t="s">
        <v>170</v>
      </c>
      <c r="I11" s="3" t="s">
        <v>171</v>
      </c>
      <c r="J11" s="4" t="s">
        <v>80</v>
      </c>
      <c r="K11" s="8">
        <v>88</v>
      </c>
      <c r="L11" s="8">
        <v>100</v>
      </c>
      <c r="M11" s="3" t="s">
        <v>172</v>
      </c>
      <c r="N11" s="3" t="s">
        <v>173</v>
      </c>
      <c r="O11" s="9" t="s">
        <v>174</v>
      </c>
      <c r="P11" s="10" t="s">
        <v>175</v>
      </c>
      <c r="Q11" s="11" t="s">
        <v>176</v>
      </c>
      <c r="R11" s="12" t="s">
        <v>80</v>
      </c>
      <c r="S11" s="13">
        <v>96</v>
      </c>
      <c r="T11" s="14" t="str">
        <f t="shared" si="0"/>
        <v>通过</v>
      </c>
    </row>
    <row r="12" ht="40.5" spans="1:20">
      <c r="A12" s="4" t="s">
        <v>177</v>
      </c>
      <c r="B12" s="4" t="s">
        <v>43</v>
      </c>
      <c r="C12" s="4" t="s">
        <v>73</v>
      </c>
      <c r="D12" s="3" t="s">
        <v>178</v>
      </c>
      <c r="E12" s="3" t="s">
        <v>88</v>
      </c>
      <c r="F12" s="3" t="s">
        <v>76</v>
      </c>
      <c r="G12" s="3" t="s">
        <v>77</v>
      </c>
      <c r="H12" s="3" t="s">
        <v>126</v>
      </c>
      <c r="I12" s="3" t="s">
        <v>179</v>
      </c>
      <c r="J12" s="4" t="s">
        <v>105</v>
      </c>
      <c r="K12" s="8">
        <v>50</v>
      </c>
      <c r="L12" s="8">
        <v>60</v>
      </c>
      <c r="M12" s="3" t="s">
        <v>180</v>
      </c>
      <c r="N12" s="3" t="s">
        <v>181</v>
      </c>
      <c r="O12" s="9" t="s">
        <v>182</v>
      </c>
      <c r="P12" s="10" t="s">
        <v>183</v>
      </c>
      <c r="Q12" s="11" t="s">
        <v>184</v>
      </c>
      <c r="R12" s="12" t="s">
        <v>105</v>
      </c>
      <c r="S12" s="13">
        <v>54</v>
      </c>
      <c r="T12" s="14" t="str">
        <f t="shared" si="0"/>
        <v>通过</v>
      </c>
    </row>
    <row r="13" ht="40.5" spans="1:20">
      <c r="A13" s="4" t="s">
        <v>185</v>
      </c>
      <c r="B13" s="4" t="s">
        <v>43</v>
      </c>
      <c r="C13" s="4" t="s">
        <v>73</v>
      </c>
      <c r="D13" s="3" t="s">
        <v>186</v>
      </c>
      <c r="E13" s="3" t="s">
        <v>123</v>
      </c>
      <c r="F13" s="3" t="s">
        <v>124</v>
      </c>
      <c r="G13" s="3" t="s">
        <v>125</v>
      </c>
      <c r="H13" s="3" t="s">
        <v>126</v>
      </c>
      <c r="I13" s="3" t="s">
        <v>187</v>
      </c>
      <c r="J13" s="4" t="s">
        <v>128</v>
      </c>
      <c r="K13" s="8">
        <v>0</v>
      </c>
      <c r="L13" s="8">
        <v>6</v>
      </c>
      <c r="M13" s="3" t="s">
        <v>188</v>
      </c>
      <c r="N13" s="3" t="s">
        <v>189</v>
      </c>
      <c r="O13" s="9" t="s">
        <v>190</v>
      </c>
      <c r="P13" s="10" t="s">
        <v>191</v>
      </c>
      <c r="Q13" s="11" t="s">
        <v>192</v>
      </c>
      <c r="R13" s="12" t="s">
        <v>128</v>
      </c>
      <c r="S13" s="13">
        <v>3</v>
      </c>
      <c r="T13" s="14" t="str">
        <f t="shared" si="0"/>
        <v>通过</v>
      </c>
    </row>
    <row r="14" ht="54" spans="1:20">
      <c r="A14" s="4" t="s">
        <v>193</v>
      </c>
      <c r="B14" s="4" t="s">
        <v>43</v>
      </c>
      <c r="C14" s="4" t="s">
        <v>73</v>
      </c>
      <c r="D14" s="3" t="s">
        <v>194</v>
      </c>
      <c r="E14" s="3" t="s">
        <v>75</v>
      </c>
      <c r="F14" s="3" t="s">
        <v>89</v>
      </c>
      <c r="G14" s="3" t="s">
        <v>77</v>
      </c>
      <c r="H14" s="3" t="s">
        <v>195</v>
      </c>
      <c r="I14" s="3" t="s">
        <v>146</v>
      </c>
      <c r="J14" s="4" t="s">
        <v>105</v>
      </c>
      <c r="K14" s="8">
        <v>45</v>
      </c>
      <c r="L14" s="8">
        <v>55</v>
      </c>
      <c r="M14" s="3" t="s">
        <v>196</v>
      </c>
      <c r="N14" s="3" t="s">
        <v>197</v>
      </c>
      <c r="O14" s="9" t="s">
        <v>198</v>
      </c>
      <c r="P14" s="10" t="s">
        <v>199</v>
      </c>
      <c r="Q14" s="11" t="s">
        <v>200</v>
      </c>
      <c r="R14" s="12" t="s">
        <v>105</v>
      </c>
      <c r="S14" s="13">
        <v>49</v>
      </c>
      <c r="T14" s="14" t="str">
        <f t="shared" si="0"/>
        <v>通过</v>
      </c>
    </row>
    <row r="15" ht="54" spans="1:20">
      <c r="A15" s="4" t="s">
        <v>201</v>
      </c>
      <c r="B15" s="4" t="s">
        <v>43</v>
      </c>
      <c r="C15" s="4" t="s">
        <v>73</v>
      </c>
      <c r="D15" s="3" t="s">
        <v>202</v>
      </c>
      <c r="E15" s="3" t="s">
        <v>123</v>
      </c>
      <c r="F15" s="3" t="s">
        <v>137</v>
      </c>
      <c r="G15" s="3" t="s">
        <v>125</v>
      </c>
      <c r="H15" s="3" t="s">
        <v>126</v>
      </c>
      <c r="I15" s="3" t="s">
        <v>203</v>
      </c>
      <c r="J15" s="4" t="s">
        <v>128</v>
      </c>
      <c r="K15" s="8">
        <v>0</v>
      </c>
      <c r="L15" s="8">
        <v>6</v>
      </c>
      <c r="M15" s="3" t="s">
        <v>204</v>
      </c>
      <c r="N15" s="3" t="s">
        <v>205</v>
      </c>
      <c r="O15" s="9" t="s">
        <v>206</v>
      </c>
      <c r="P15" s="10" t="s">
        <v>207</v>
      </c>
      <c r="Q15" s="11" t="s">
        <v>208</v>
      </c>
      <c r="R15" s="12" t="s">
        <v>128</v>
      </c>
      <c r="S15" s="13">
        <v>3</v>
      </c>
      <c r="T15" s="14" t="str">
        <f t="shared" si="0"/>
        <v>通过</v>
      </c>
    </row>
    <row r="16" ht="67.5" spans="1:20">
      <c r="A16" s="4" t="s">
        <v>209</v>
      </c>
      <c r="B16" s="4" t="s">
        <v>44</v>
      </c>
      <c r="C16" s="4" t="s">
        <v>73</v>
      </c>
      <c r="D16" s="3" t="s">
        <v>210</v>
      </c>
      <c r="E16" s="3" t="s">
        <v>75</v>
      </c>
      <c r="F16" s="3" t="s">
        <v>89</v>
      </c>
      <c r="G16" s="3" t="s">
        <v>77</v>
      </c>
      <c r="H16" s="3" t="s">
        <v>126</v>
      </c>
      <c r="I16" s="3" t="s">
        <v>126</v>
      </c>
      <c r="J16" s="4" t="s">
        <v>211</v>
      </c>
      <c r="K16" s="8">
        <v>0</v>
      </c>
      <c r="L16" s="8">
        <v>0</v>
      </c>
      <c r="M16" s="3" t="s">
        <v>212</v>
      </c>
      <c r="N16" s="3" t="s">
        <v>213</v>
      </c>
      <c r="O16" s="9" t="s">
        <v>214</v>
      </c>
      <c r="P16" s="10" t="s">
        <v>215</v>
      </c>
      <c r="Q16" s="11" t="s">
        <v>216</v>
      </c>
      <c r="R16" s="12" t="s">
        <v>211</v>
      </c>
      <c r="S16" s="13">
        <v>0</v>
      </c>
      <c r="T16" s="14" t="str">
        <f t="shared" si="0"/>
        <v>通过</v>
      </c>
    </row>
    <row r="17" ht="67.5" spans="1:20">
      <c r="A17" s="4" t="s">
        <v>217</v>
      </c>
      <c r="B17" s="4" t="s">
        <v>44</v>
      </c>
      <c r="C17" s="4" t="s">
        <v>73</v>
      </c>
      <c r="D17" s="3" t="s">
        <v>218</v>
      </c>
      <c r="E17" s="3" t="s">
        <v>136</v>
      </c>
      <c r="F17" s="3" t="s">
        <v>137</v>
      </c>
      <c r="G17" s="3" t="s">
        <v>102</v>
      </c>
      <c r="H17" s="3" t="s">
        <v>126</v>
      </c>
      <c r="I17" s="3" t="s">
        <v>219</v>
      </c>
      <c r="J17" s="4" t="s">
        <v>128</v>
      </c>
      <c r="K17" s="8">
        <v>0</v>
      </c>
      <c r="L17" s="8">
        <v>29</v>
      </c>
      <c r="M17" s="3" t="s">
        <v>220</v>
      </c>
      <c r="N17" s="3" t="s">
        <v>221</v>
      </c>
      <c r="O17" s="9" t="s">
        <v>222</v>
      </c>
      <c r="P17" s="10" t="s">
        <v>223</v>
      </c>
      <c r="Q17" s="11" t="s">
        <v>224</v>
      </c>
      <c r="R17" s="12" t="s">
        <v>128</v>
      </c>
      <c r="S17" s="13">
        <v>20</v>
      </c>
      <c r="T17" s="14" t="str">
        <f t="shared" si="0"/>
        <v>通过</v>
      </c>
    </row>
    <row r="18" ht="67.5" spans="1:20">
      <c r="A18" s="4" t="s">
        <v>225</v>
      </c>
      <c r="B18" s="4" t="s">
        <v>44</v>
      </c>
      <c r="C18" s="4" t="s">
        <v>73</v>
      </c>
      <c r="D18" s="3" t="s">
        <v>226</v>
      </c>
      <c r="E18" s="3" t="s">
        <v>75</v>
      </c>
      <c r="F18" s="3" t="s">
        <v>89</v>
      </c>
      <c r="G18" s="3" t="s">
        <v>77</v>
      </c>
      <c r="H18" s="3" t="s">
        <v>103</v>
      </c>
      <c r="I18" s="3" t="s">
        <v>227</v>
      </c>
      <c r="J18" s="4" t="s">
        <v>80</v>
      </c>
      <c r="K18" s="8">
        <v>60</v>
      </c>
      <c r="L18" s="8">
        <v>95</v>
      </c>
      <c r="M18" s="3" t="s">
        <v>228</v>
      </c>
      <c r="N18" s="3" t="s">
        <v>229</v>
      </c>
      <c r="O18" s="9" t="s">
        <v>230</v>
      </c>
      <c r="P18" s="10" t="s">
        <v>231</v>
      </c>
      <c r="Q18" s="11" t="s">
        <v>232</v>
      </c>
      <c r="R18" s="12" t="s">
        <v>80</v>
      </c>
      <c r="S18" s="13">
        <v>71</v>
      </c>
      <c r="T18" s="14" t="str">
        <f t="shared" si="0"/>
        <v>通过</v>
      </c>
    </row>
    <row r="19" ht="54" spans="1:20">
      <c r="A19" s="4" t="s">
        <v>233</v>
      </c>
      <c r="B19" s="4" t="s">
        <v>44</v>
      </c>
      <c r="C19" s="4" t="s">
        <v>73</v>
      </c>
      <c r="D19" s="3" t="s">
        <v>234</v>
      </c>
      <c r="E19" s="3" t="s">
        <v>100</v>
      </c>
      <c r="F19" s="3" t="s">
        <v>89</v>
      </c>
      <c r="G19" s="3" t="s">
        <v>77</v>
      </c>
      <c r="H19" s="3" t="s">
        <v>235</v>
      </c>
      <c r="I19" s="3" t="s">
        <v>236</v>
      </c>
      <c r="J19" s="4" t="s">
        <v>80</v>
      </c>
      <c r="K19" s="8">
        <v>70</v>
      </c>
      <c r="L19" s="8">
        <v>88</v>
      </c>
      <c r="M19" s="3" t="s">
        <v>237</v>
      </c>
      <c r="N19" s="3" t="s">
        <v>238</v>
      </c>
      <c r="O19" s="9" t="s">
        <v>239</v>
      </c>
      <c r="P19" s="10" t="s">
        <v>240</v>
      </c>
      <c r="Q19" s="11" t="s">
        <v>241</v>
      </c>
      <c r="R19" s="12" t="s">
        <v>80</v>
      </c>
      <c r="S19" s="13">
        <v>77</v>
      </c>
      <c r="T19" s="14" t="str">
        <f t="shared" si="0"/>
        <v>通过</v>
      </c>
    </row>
    <row r="20" ht="81" spans="1:20">
      <c r="A20" s="4" t="s">
        <v>242</v>
      </c>
      <c r="B20" s="4" t="s">
        <v>44</v>
      </c>
      <c r="C20" s="4" t="s">
        <v>73</v>
      </c>
      <c r="D20" s="3" t="s">
        <v>243</v>
      </c>
      <c r="E20" s="3" t="s">
        <v>75</v>
      </c>
      <c r="F20" s="3" t="s">
        <v>89</v>
      </c>
      <c r="G20" s="3" t="s">
        <v>90</v>
      </c>
      <c r="H20" s="3" t="s">
        <v>103</v>
      </c>
      <c r="I20" s="3" t="s">
        <v>163</v>
      </c>
      <c r="J20" s="4" t="s">
        <v>105</v>
      </c>
      <c r="K20" s="8">
        <v>45</v>
      </c>
      <c r="L20" s="8">
        <v>55</v>
      </c>
      <c r="M20" s="3" t="s">
        <v>244</v>
      </c>
      <c r="N20" s="3" t="s">
        <v>245</v>
      </c>
      <c r="O20" s="9" t="s">
        <v>246</v>
      </c>
      <c r="P20" s="10" t="s">
        <v>247</v>
      </c>
      <c r="Q20" s="11" t="s">
        <v>248</v>
      </c>
      <c r="R20" s="12" t="s">
        <v>105</v>
      </c>
      <c r="S20" s="13">
        <v>50</v>
      </c>
      <c r="T20" s="14" t="str">
        <f t="shared" si="0"/>
        <v>通过</v>
      </c>
    </row>
    <row r="21" ht="67.5" spans="1:20">
      <c r="A21" s="4" t="s">
        <v>249</v>
      </c>
      <c r="B21" s="4" t="s">
        <v>44</v>
      </c>
      <c r="C21" s="4" t="s">
        <v>73</v>
      </c>
      <c r="D21" s="3" t="s">
        <v>250</v>
      </c>
      <c r="E21" s="3" t="s">
        <v>88</v>
      </c>
      <c r="F21" s="3" t="s">
        <v>89</v>
      </c>
      <c r="G21" s="3" t="s">
        <v>77</v>
      </c>
      <c r="H21" s="3" t="s">
        <v>251</v>
      </c>
      <c r="I21" s="3" t="s">
        <v>252</v>
      </c>
      <c r="J21" s="4" t="s">
        <v>80</v>
      </c>
      <c r="K21" s="8">
        <v>75</v>
      </c>
      <c r="L21" s="8">
        <v>92</v>
      </c>
      <c r="M21" s="3" t="s">
        <v>253</v>
      </c>
      <c r="N21" s="3" t="s">
        <v>254</v>
      </c>
      <c r="O21" s="9" t="s">
        <v>255</v>
      </c>
      <c r="P21" s="10" t="s">
        <v>256</v>
      </c>
      <c r="Q21" s="11" t="s">
        <v>257</v>
      </c>
      <c r="R21" s="12" t="s">
        <v>80</v>
      </c>
      <c r="S21" s="13">
        <v>78</v>
      </c>
      <c r="T21" s="14" t="str">
        <f t="shared" si="0"/>
        <v>通过</v>
      </c>
    </row>
    <row r="22" ht="67.5" spans="1:20">
      <c r="A22" s="4" t="s">
        <v>258</v>
      </c>
      <c r="B22" s="4" t="s">
        <v>45</v>
      </c>
      <c r="C22" s="4" t="s">
        <v>259</v>
      </c>
      <c r="D22" s="3" t="s">
        <v>260</v>
      </c>
      <c r="E22" s="3" t="s">
        <v>75</v>
      </c>
      <c r="F22" s="3" t="s">
        <v>76</v>
      </c>
      <c r="G22" s="3" t="s">
        <v>77</v>
      </c>
      <c r="H22" s="3" t="s">
        <v>91</v>
      </c>
      <c r="I22" s="3" t="s">
        <v>261</v>
      </c>
      <c r="J22" s="4" t="s">
        <v>211</v>
      </c>
      <c r="K22" s="8">
        <v>0</v>
      </c>
      <c r="L22" s="8">
        <v>0</v>
      </c>
      <c r="M22" s="3" t="s">
        <v>262</v>
      </c>
      <c r="N22" s="3" t="s">
        <v>263</v>
      </c>
      <c r="O22" s="9" t="s">
        <v>264</v>
      </c>
      <c r="P22" s="10" t="s">
        <v>265</v>
      </c>
      <c r="Q22" s="11" t="s">
        <v>266</v>
      </c>
      <c r="R22" s="12"/>
      <c r="S22" s="13"/>
      <c r="T22" s="14" t="str">
        <f t="shared" si="0"/>
        <v>待测</v>
      </c>
    </row>
    <row r="23" ht="81" spans="1:20">
      <c r="A23" s="4" t="s">
        <v>267</v>
      </c>
      <c r="B23" s="4" t="s">
        <v>45</v>
      </c>
      <c r="C23" s="4" t="s">
        <v>259</v>
      </c>
      <c r="D23" s="3" t="s">
        <v>268</v>
      </c>
      <c r="E23" s="3" t="s">
        <v>75</v>
      </c>
      <c r="F23" s="3" t="s">
        <v>76</v>
      </c>
      <c r="G23" s="3" t="s">
        <v>77</v>
      </c>
      <c r="H23" s="3" t="s">
        <v>269</v>
      </c>
      <c r="I23" s="3" t="s">
        <v>270</v>
      </c>
      <c r="J23" s="4" t="s">
        <v>80</v>
      </c>
      <c r="K23" s="8">
        <v>70</v>
      </c>
      <c r="L23" s="8">
        <v>95</v>
      </c>
      <c r="M23" s="3" t="s">
        <v>271</v>
      </c>
      <c r="N23" s="3" t="s">
        <v>272</v>
      </c>
      <c r="O23" s="9" t="s">
        <v>273</v>
      </c>
      <c r="P23" s="10" t="s">
        <v>274</v>
      </c>
      <c r="Q23" s="11" t="s">
        <v>275</v>
      </c>
      <c r="R23" s="12" t="s">
        <v>80</v>
      </c>
      <c r="S23" s="13">
        <v>73</v>
      </c>
      <c r="T23" s="14" t="str">
        <f t="shared" si="0"/>
        <v>通过</v>
      </c>
    </row>
    <row r="24" ht="81" spans="1:20">
      <c r="A24" s="4" t="s">
        <v>276</v>
      </c>
      <c r="B24" s="4" t="s">
        <v>45</v>
      </c>
      <c r="C24" s="4" t="s">
        <v>259</v>
      </c>
      <c r="D24" s="3" t="s">
        <v>277</v>
      </c>
      <c r="E24" s="3" t="s">
        <v>75</v>
      </c>
      <c r="F24" s="3" t="s">
        <v>76</v>
      </c>
      <c r="G24" s="3" t="s">
        <v>77</v>
      </c>
      <c r="H24" s="3" t="s">
        <v>269</v>
      </c>
      <c r="I24" s="3" t="s">
        <v>278</v>
      </c>
      <c r="J24" s="4" t="s">
        <v>80</v>
      </c>
      <c r="K24" s="8">
        <v>70</v>
      </c>
      <c r="L24" s="8">
        <v>95</v>
      </c>
      <c r="M24" s="3" t="s">
        <v>279</v>
      </c>
      <c r="N24" s="3" t="s">
        <v>280</v>
      </c>
      <c r="O24" s="9" t="s">
        <v>281</v>
      </c>
      <c r="P24" s="10" t="s">
        <v>282</v>
      </c>
      <c r="Q24" s="11" t="s">
        <v>283</v>
      </c>
      <c r="R24" s="12"/>
      <c r="S24" s="13"/>
      <c r="T24" s="14" t="str">
        <f t="shared" si="0"/>
        <v>待测</v>
      </c>
    </row>
    <row r="25" ht="67.5" spans="1:20">
      <c r="A25" s="4" t="s">
        <v>284</v>
      </c>
      <c r="B25" s="4" t="s">
        <v>45</v>
      </c>
      <c r="C25" s="4" t="s">
        <v>259</v>
      </c>
      <c r="D25" s="3" t="s">
        <v>285</v>
      </c>
      <c r="E25" s="3" t="s">
        <v>75</v>
      </c>
      <c r="F25" s="3" t="s">
        <v>76</v>
      </c>
      <c r="G25" s="3" t="s">
        <v>77</v>
      </c>
      <c r="H25" s="3" t="s">
        <v>126</v>
      </c>
      <c r="I25" s="3" t="s">
        <v>286</v>
      </c>
      <c r="J25" s="4" t="s">
        <v>211</v>
      </c>
      <c r="K25" s="8">
        <v>0</v>
      </c>
      <c r="L25" s="8">
        <v>0</v>
      </c>
      <c r="M25" s="3" t="s">
        <v>287</v>
      </c>
      <c r="N25" s="3" t="s">
        <v>288</v>
      </c>
      <c r="O25" s="9" t="s">
        <v>289</v>
      </c>
      <c r="P25" s="10" t="s">
        <v>290</v>
      </c>
      <c r="Q25" s="11" t="s">
        <v>291</v>
      </c>
      <c r="R25" s="12"/>
      <c r="S25" s="13"/>
      <c r="T25" s="14" t="str">
        <f t="shared" si="0"/>
        <v>待测</v>
      </c>
    </row>
    <row r="26" ht="67.5" spans="1:20">
      <c r="A26" s="4" t="s">
        <v>292</v>
      </c>
      <c r="B26" s="4" t="s">
        <v>45</v>
      </c>
      <c r="C26" s="4" t="s">
        <v>259</v>
      </c>
      <c r="D26" s="3" t="s">
        <v>293</v>
      </c>
      <c r="E26" s="3" t="s">
        <v>75</v>
      </c>
      <c r="F26" s="3" t="s">
        <v>76</v>
      </c>
      <c r="G26" s="3" t="s">
        <v>77</v>
      </c>
      <c r="H26" s="3" t="s">
        <v>269</v>
      </c>
      <c r="I26" s="3" t="s">
        <v>278</v>
      </c>
      <c r="J26" s="4" t="s">
        <v>80</v>
      </c>
      <c r="K26" s="8">
        <v>70</v>
      </c>
      <c r="L26" s="8">
        <v>95</v>
      </c>
      <c r="M26" s="3" t="s">
        <v>294</v>
      </c>
      <c r="N26" s="3" t="s">
        <v>295</v>
      </c>
      <c r="O26" s="9" t="s">
        <v>296</v>
      </c>
      <c r="P26" s="10" t="s">
        <v>297</v>
      </c>
      <c r="Q26" s="11" t="s">
        <v>298</v>
      </c>
      <c r="R26" s="12" t="s">
        <v>80</v>
      </c>
      <c r="S26" s="13">
        <v>73</v>
      </c>
      <c r="T26" s="14" t="str">
        <f t="shared" si="0"/>
        <v>通过</v>
      </c>
    </row>
    <row r="27" ht="67.5" spans="1:20">
      <c r="A27" s="4" t="s">
        <v>299</v>
      </c>
      <c r="B27" s="4" t="s">
        <v>45</v>
      </c>
      <c r="C27" s="4" t="s">
        <v>259</v>
      </c>
      <c r="D27" s="3" t="s">
        <v>300</v>
      </c>
      <c r="E27" s="3" t="s">
        <v>75</v>
      </c>
      <c r="F27" s="3" t="s">
        <v>76</v>
      </c>
      <c r="G27" s="3" t="s">
        <v>77</v>
      </c>
      <c r="H27" s="3" t="s">
        <v>126</v>
      </c>
      <c r="I27" s="3" t="s">
        <v>286</v>
      </c>
      <c r="J27" s="4" t="s">
        <v>211</v>
      </c>
      <c r="K27" s="8">
        <v>0</v>
      </c>
      <c r="L27" s="8">
        <v>0</v>
      </c>
      <c r="M27" s="3" t="s">
        <v>301</v>
      </c>
      <c r="N27" s="3" t="s">
        <v>302</v>
      </c>
      <c r="O27" s="9" t="s">
        <v>303</v>
      </c>
      <c r="P27" s="10" t="s">
        <v>304</v>
      </c>
      <c r="Q27" s="11" t="s">
        <v>305</v>
      </c>
      <c r="R27" s="12"/>
      <c r="S27" s="13"/>
      <c r="T27" s="14" t="str">
        <f t="shared" si="0"/>
        <v>待测</v>
      </c>
    </row>
    <row r="28" ht="54" spans="1:20">
      <c r="A28" s="4" t="s">
        <v>306</v>
      </c>
      <c r="B28" s="4" t="s">
        <v>45</v>
      </c>
      <c r="C28" s="4" t="s">
        <v>259</v>
      </c>
      <c r="D28" s="3" t="s">
        <v>307</v>
      </c>
      <c r="E28" s="3" t="s">
        <v>75</v>
      </c>
      <c r="F28" s="3" t="s">
        <v>76</v>
      </c>
      <c r="G28" s="3" t="s">
        <v>77</v>
      </c>
      <c r="H28" s="3" t="s">
        <v>269</v>
      </c>
      <c r="I28" s="3" t="s">
        <v>308</v>
      </c>
      <c r="J28" s="4" t="s">
        <v>80</v>
      </c>
      <c r="K28" s="8">
        <v>70</v>
      </c>
      <c r="L28" s="8">
        <v>95</v>
      </c>
      <c r="M28" s="3" t="s">
        <v>309</v>
      </c>
      <c r="N28" s="3" t="s">
        <v>310</v>
      </c>
      <c r="O28" s="9" t="s">
        <v>311</v>
      </c>
      <c r="P28" s="10" t="s">
        <v>312</v>
      </c>
      <c r="Q28" s="11" t="s">
        <v>313</v>
      </c>
      <c r="R28" s="12"/>
      <c r="S28" s="13"/>
      <c r="T28" s="14" t="str">
        <f t="shared" si="0"/>
        <v>待测</v>
      </c>
    </row>
    <row r="29" ht="81" spans="1:20">
      <c r="A29" s="4" t="s">
        <v>314</v>
      </c>
      <c r="B29" s="4" t="s">
        <v>45</v>
      </c>
      <c r="C29" s="4" t="s">
        <v>259</v>
      </c>
      <c r="D29" s="3" t="s">
        <v>315</v>
      </c>
      <c r="E29" s="3" t="s">
        <v>123</v>
      </c>
      <c r="F29" s="3" t="s">
        <v>124</v>
      </c>
      <c r="G29" s="3" t="s">
        <v>125</v>
      </c>
      <c r="H29" s="3" t="s">
        <v>126</v>
      </c>
      <c r="I29" s="3" t="s">
        <v>316</v>
      </c>
      <c r="J29" s="4" t="s">
        <v>128</v>
      </c>
      <c r="K29" s="8">
        <v>0</v>
      </c>
      <c r="L29" s="8">
        <v>6</v>
      </c>
      <c r="M29" s="3" t="s">
        <v>317</v>
      </c>
      <c r="N29" s="3" t="s">
        <v>318</v>
      </c>
      <c r="O29" s="9" t="s">
        <v>319</v>
      </c>
      <c r="P29" s="10" t="s">
        <v>320</v>
      </c>
      <c r="Q29" s="11" t="s">
        <v>321</v>
      </c>
      <c r="R29" s="12"/>
      <c r="S29" s="13"/>
      <c r="T29" s="14" t="str">
        <f t="shared" si="0"/>
        <v>待测</v>
      </c>
    </row>
  </sheetData>
  <autoFilter xmlns:etc="http://www.wps.cn/officeDocument/2017/etCustomData" ref="A1:T29" etc:filterBottomFollowUsedRange="0">
    <extLst/>
  </autoFilter>
  <conditionalFormatting sqref="B2:B29">
    <cfRule type="cellIs" dxfId="0" priority="1" operator="equal">
      <formula>"正常"</formula>
    </cfRule>
    <cfRule type="cellIs" dxfId="1" priority="2" operator="equal">
      <formula>"边界"</formula>
    </cfRule>
    <cfRule type="cellIs" dxfId="2" priority="3" operator="equal">
      <formula>"异常"</formula>
    </cfRule>
    <cfRule type="cellIs" dxfId="3" priority="4" operator="equal">
      <formula>"集成"</formula>
    </cfRule>
  </conditionalFormatting>
  <conditionalFormatting sqref="T2:T29">
    <cfRule type="cellIs" dxfId="4" priority="5" operator="equal">
      <formula>"通过"</formula>
    </cfRule>
    <cfRule type="cellIs" dxfId="5" priority="6" operator="equal">
      <formula>"不通过"</formula>
    </cfRule>
    <cfRule type="cellIs" dxfId="6" priority="7" operator="equal">
      <formula>"待测"</formula>
    </cfRule>
  </conditionalFormatting>
  <dataValidations count="1">
    <dataValidation type="list" allowBlank="1" error="请选择：SQL / MQL / 无效 / 拦截" sqref="R2:R29">
      <formula1>"SQL,MQL,无效,拦截"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6" customWidth="1"/>
    <col min="2" max="2" width="17" customWidth="1"/>
    <col min="3" max="3" width="18" customWidth="1"/>
    <col min="4" max="5" width="30" customWidth="1"/>
    <col min="6" max="6" width="18" customWidth="1"/>
    <col min="7" max="7" width="42" customWidth="1"/>
    <col min="8" max="8" width="9" customWidth="1"/>
    <col min="9" max="9" width="38" customWidth="1"/>
    <col min="10" max="10" width="12" customWidth="1"/>
  </cols>
  <sheetData>
    <row r="1" spans="1:10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</row>
    <row r="2" ht="27" spans="1:10">
      <c r="A2" s="5">
        <v>1</v>
      </c>
      <c r="B2" s="5" t="s">
        <v>332</v>
      </c>
      <c r="C2" s="3" t="s">
        <v>333</v>
      </c>
      <c r="D2" s="3" t="s">
        <v>334</v>
      </c>
      <c r="E2" s="3" t="s">
        <v>335</v>
      </c>
      <c r="F2" s="3" t="s">
        <v>336</v>
      </c>
      <c r="G2" s="3" t="s">
        <v>337</v>
      </c>
      <c r="H2" s="6"/>
      <c r="I2" s="3" t="s">
        <v>338</v>
      </c>
      <c r="J2" s="5" t="s">
        <v>339</v>
      </c>
    </row>
    <row r="3" ht="27" spans="1:10">
      <c r="A3" s="5">
        <v>2</v>
      </c>
      <c r="B3" s="5" t="s">
        <v>332</v>
      </c>
      <c r="C3" s="3" t="s">
        <v>333</v>
      </c>
      <c r="D3" s="3" t="s">
        <v>340</v>
      </c>
      <c r="E3" s="3" t="s">
        <v>341</v>
      </c>
      <c r="F3" s="3" t="s">
        <v>336</v>
      </c>
      <c r="G3" s="3" t="s">
        <v>342</v>
      </c>
      <c r="H3" s="6"/>
      <c r="I3" s="3" t="s">
        <v>343</v>
      </c>
      <c r="J3" s="5" t="s">
        <v>344</v>
      </c>
    </row>
    <row r="4" ht="27" spans="1:10">
      <c r="A4" s="5">
        <v>3</v>
      </c>
      <c r="B4" s="5" t="s">
        <v>345</v>
      </c>
      <c r="C4" s="3" t="s">
        <v>346</v>
      </c>
      <c r="D4" s="3" t="s">
        <v>347</v>
      </c>
      <c r="E4" s="3" t="s">
        <v>348</v>
      </c>
      <c r="F4" s="3" t="s">
        <v>349</v>
      </c>
      <c r="G4" s="3" t="s">
        <v>350</v>
      </c>
      <c r="H4" s="6">
        <v>0.4</v>
      </c>
      <c r="I4" s="3" t="s">
        <v>351</v>
      </c>
      <c r="J4" s="5" t="s">
        <v>352</v>
      </c>
    </row>
    <row r="5" ht="27" spans="1:10">
      <c r="A5" s="5">
        <v>4</v>
      </c>
      <c r="B5" s="5" t="s">
        <v>353</v>
      </c>
      <c r="C5" s="3" t="s">
        <v>346</v>
      </c>
      <c r="D5" s="3" t="s">
        <v>354</v>
      </c>
      <c r="E5" s="3" t="s">
        <v>355</v>
      </c>
      <c r="F5" s="3" t="s">
        <v>356</v>
      </c>
      <c r="G5" s="3" t="s">
        <v>357</v>
      </c>
      <c r="H5" s="6">
        <v>2.1</v>
      </c>
      <c r="I5" s="3" t="s">
        <v>358</v>
      </c>
      <c r="J5" s="5" t="s">
        <v>352</v>
      </c>
    </row>
    <row r="6" ht="27" spans="1:10">
      <c r="A6" s="5">
        <v>5</v>
      </c>
      <c r="B6" s="5" t="s">
        <v>359</v>
      </c>
      <c r="C6" s="3" t="s">
        <v>346</v>
      </c>
      <c r="D6" s="3" t="s">
        <v>360</v>
      </c>
      <c r="E6" s="3" t="s">
        <v>361</v>
      </c>
      <c r="F6" s="3" t="s">
        <v>349</v>
      </c>
      <c r="G6" s="3" t="s">
        <v>362</v>
      </c>
      <c r="H6" s="6">
        <v>0.6</v>
      </c>
      <c r="I6" s="3" t="s">
        <v>363</v>
      </c>
      <c r="J6" s="5" t="s">
        <v>364</v>
      </c>
    </row>
    <row r="7" ht="27" spans="1:10">
      <c r="A7" s="5">
        <v>6</v>
      </c>
      <c r="B7" s="5" t="s">
        <v>365</v>
      </c>
      <c r="C7" s="3" t="s">
        <v>346</v>
      </c>
      <c r="D7" s="3" t="s">
        <v>366</v>
      </c>
      <c r="E7" s="3" t="s">
        <v>361</v>
      </c>
      <c r="F7" s="3" t="s">
        <v>367</v>
      </c>
      <c r="G7" s="3" t="s">
        <v>368</v>
      </c>
      <c r="H7" s="6">
        <v>100</v>
      </c>
      <c r="I7" s="3" t="s">
        <v>369</v>
      </c>
      <c r="J7" s="5" t="s">
        <v>370</v>
      </c>
    </row>
    <row r="8" ht="27" spans="1:10">
      <c r="A8" s="5">
        <v>7</v>
      </c>
      <c r="B8" s="5" t="s">
        <v>371</v>
      </c>
      <c r="C8" s="3" t="s">
        <v>346</v>
      </c>
      <c r="D8" s="3" t="s">
        <v>372</v>
      </c>
      <c r="E8" s="3" t="s">
        <v>361</v>
      </c>
      <c r="F8" s="3" t="s">
        <v>356</v>
      </c>
      <c r="G8" s="3" t="s">
        <v>373</v>
      </c>
      <c r="H8" s="6">
        <v>98</v>
      </c>
      <c r="I8" s="3" t="s">
        <v>374</v>
      </c>
      <c r="J8" s="5" t="s">
        <v>375</v>
      </c>
    </row>
    <row r="9" ht="27" spans="1:10">
      <c r="A9" s="5">
        <v>8</v>
      </c>
      <c r="B9" s="5" t="s">
        <v>376</v>
      </c>
      <c r="C9" s="3" t="s">
        <v>377</v>
      </c>
      <c r="D9" s="3" t="s">
        <v>378</v>
      </c>
      <c r="E9" s="3" t="s">
        <v>361</v>
      </c>
      <c r="F9" s="3" t="s">
        <v>379</v>
      </c>
      <c r="G9" s="3" t="s">
        <v>380</v>
      </c>
      <c r="H9" s="6">
        <v>98</v>
      </c>
      <c r="I9" s="3" t="s">
        <v>381</v>
      </c>
      <c r="J9" s="5" t="s">
        <v>344</v>
      </c>
    </row>
  </sheetData>
  <conditionalFormatting sqref="F2:F9">
    <cfRule type="cellIs" dxfId="4" priority="1" operator="equal">
      <formula>"succeeded"</formula>
    </cfRule>
    <cfRule type="expression" dxfId="7" priority="2">
      <formula>ISNUMBER(SEARCH("HTTP",$F2))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9" customWidth="1"/>
    <col min="2" max="2" width="12" customWidth="1"/>
    <col min="3" max="3" width="8" customWidth="1"/>
    <col min="4" max="4" width="40" customWidth="1"/>
    <col min="5" max="5" width="42" customWidth="1"/>
    <col min="6" max="6" width="30" customWidth="1"/>
    <col min="7" max="7" width="38" customWidth="1"/>
    <col min="8" max="8" width="8" customWidth="1"/>
    <col min="9" max="9" width="26" customWidth="1"/>
  </cols>
  <sheetData>
    <row r="1" spans="1:9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</row>
    <row r="2" ht="27" spans="1:9">
      <c r="A2" s="5" t="s">
        <v>391</v>
      </c>
      <c r="B2" s="5" t="s">
        <v>392</v>
      </c>
      <c r="C2" s="5" t="s">
        <v>393</v>
      </c>
      <c r="D2" s="3" t="s">
        <v>394</v>
      </c>
      <c r="E2" s="3" t="s">
        <v>395</v>
      </c>
      <c r="F2" s="3" t="s">
        <v>396</v>
      </c>
      <c r="G2" s="3" t="s">
        <v>397</v>
      </c>
      <c r="H2" s="5" t="s">
        <v>398</v>
      </c>
      <c r="I2" s="3" t="s">
        <v>399</v>
      </c>
    </row>
    <row r="3" ht="27" spans="1:9">
      <c r="A3" s="5" t="s">
        <v>400</v>
      </c>
      <c r="B3" s="5" t="s">
        <v>392</v>
      </c>
      <c r="C3" s="5" t="s">
        <v>393</v>
      </c>
      <c r="D3" s="3" t="s">
        <v>401</v>
      </c>
      <c r="E3" s="3" t="s">
        <v>402</v>
      </c>
      <c r="F3" s="3" t="s">
        <v>403</v>
      </c>
      <c r="G3" s="3" t="s">
        <v>404</v>
      </c>
      <c r="H3" s="5" t="s">
        <v>398</v>
      </c>
      <c r="I3" s="3" t="s">
        <v>405</v>
      </c>
    </row>
    <row r="4" ht="27" spans="1:9">
      <c r="A4" s="5" t="s">
        <v>364</v>
      </c>
      <c r="B4" s="5" t="s">
        <v>392</v>
      </c>
      <c r="C4" s="5" t="s">
        <v>393</v>
      </c>
      <c r="D4" s="3" t="s">
        <v>406</v>
      </c>
      <c r="E4" s="3" t="s">
        <v>407</v>
      </c>
      <c r="F4" s="3" t="s">
        <v>408</v>
      </c>
      <c r="G4" s="3" t="s">
        <v>409</v>
      </c>
      <c r="H4" s="5" t="s">
        <v>398</v>
      </c>
      <c r="I4" s="3" t="s">
        <v>410</v>
      </c>
    </row>
    <row r="5" ht="27" spans="1:9">
      <c r="A5" s="5" t="s">
        <v>370</v>
      </c>
      <c r="B5" s="5" t="s">
        <v>392</v>
      </c>
      <c r="C5" s="5" t="s">
        <v>411</v>
      </c>
      <c r="D5" s="3" t="s">
        <v>412</v>
      </c>
      <c r="E5" s="3" t="s">
        <v>413</v>
      </c>
      <c r="F5" s="3" t="s">
        <v>414</v>
      </c>
      <c r="G5" s="3" t="s">
        <v>415</v>
      </c>
      <c r="H5" s="5" t="s">
        <v>398</v>
      </c>
      <c r="I5" s="3" t="s">
        <v>416</v>
      </c>
    </row>
    <row r="6" ht="27" spans="1:9">
      <c r="A6" s="5" t="s">
        <v>375</v>
      </c>
      <c r="B6" s="5" t="s">
        <v>392</v>
      </c>
      <c r="C6" s="5" t="s">
        <v>417</v>
      </c>
      <c r="D6" s="3" t="s">
        <v>418</v>
      </c>
      <c r="E6" s="3" t="s">
        <v>419</v>
      </c>
      <c r="F6" s="3" t="s">
        <v>420</v>
      </c>
      <c r="G6" s="3" t="s">
        <v>421</v>
      </c>
      <c r="H6" s="5" t="s">
        <v>398</v>
      </c>
      <c r="I6" s="3" t="s">
        <v>422</v>
      </c>
    </row>
    <row r="7" ht="27" spans="1:9">
      <c r="A7" s="5" t="s">
        <v>423</v>
      </c>
      <c r="B7" s="5" t="s">
        <v>392</v>
      </c>
      <c r="C7" s="5" t="s">
        <v>411</v>
      </c>
      <c r="D7" s="3" t="s">
        <v>424</v>
      </c>
      <c r="E7" s="3" t="s">
        <v>425</v>
      </c>
      <c r="F7" s="3" t="s">
        <v>426</v>
      </c>
      <c r="G7" s="3" t="s">
        <v>427</v>
      </c>
      <c r="H7" s="5" t="s">
        <v>398</v>
      </c>
      <c r="I7" s="3" t="s">
        <v>428</v>
      </c>
    </row>
    <row r="8" spans="1:9">
      <c r="A8" s="5" t="s">
        <v>429</v>
      </c>
      <c r="B8" s="5" t="s">
        <v>392</v>
      </c>
      <c r="C8" s="5" t="s">
        <v>411</v>
      </c>
      <c r="D8" s="3" t="s">
        <v>430</v>
      </c>
      <c r="E8" s="3" t="s">
        <v>431</v>
      </c>
      <c r="F8" s="3" t="s">
        <v>432</v>
      </c>
      <c r="G8" s="3" t="s">
        <v>433</v>
      </c>
      <c r="H8" s="5" t="s">
        <v>398</v>
      </c>
      <c r="I8" s="3" t="s">
        <v>434</v>
      </c>
    </row>
    <row r="9" ht="27" spans="1:9">
      <c r="A9" s="5" t="s">
        <v>435</v>
      </c>
      <c r="B9" s="5" t="s">
        <v>392</v>
      </c>
      <c r="C9" s="5" t="s">
        <v>417</v>
      </c>
      <c r="D9" s="3" t="s">
        <v>436</v>
      </c>
      <c r="E9" s="3" t="s">
        <v>437</v>
      </c>
      <c r="F9" s="3" t="s">
        <v>438</v>
      </c>
      <c r="G9" s="3" t="s">
        <v>439</v>
      </c>
      <c r="H9" s="5" t="s">
        <v>398</v>
      </c>
      <c r="I9" s="3" t="s">
        <v>440</v>
      </c>
    </row>
    <row r="10" ht="27" spans="1:9">
      <c r="A10" s="5" t="s">
        <v>339</v>
      </c>
      <c r="B10" s="5" t="s">
        <v>332</v>
      </c>
      <c r="C10" s="5" t="s">
        <v>417</v>
      </c>
      <c r="D10" s="3" t="s">
        <v>441</v>
      </c>
      <c r="E10" s="3" t="s">
        <v>442</v>
      </c>
      <c r="F10" s="3" t="s">
        <v>443</v>
      </c>
      <c r="G10" s="3" t="s">
        <v>444</v>
      </c>
      <c r="H10" s="5" t="s">
        <v>398</v>
      </c>
      <c r="I10" s="3" t="s">
        <v>445</v>
      </c>
    </row>
  </sheetData>
  <autoFilter xmlns:etc="http://www.wps.cn/officeDocument/2017/etCustomData" ref="A1:I10" etc:filterBottomFollowUsedRange="0">
    <extLst/>
  </autoFilter>
  <conditionalFormatting sqref="C2:C10">
    <cfRule type="cellIs" dxfId="5" priority="1" operator="equal">
      <formula>"阻断"</formula>
    </cfRule>
    <cfRule type="cellIs" dxfId="6" priority="2" operator="equal">
      <formula>"高"</formula>
    </cfRule>
  </conditionalFormatting>
  <conditionalFormatting sqref="H2:H10">
    <cfRule type="cellIs" dxfId="4" priority="3" operator="equal">
      <formula>"已修复"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pane ySplit="1" topLeftCell="A2" activePane="bottomLeft" state="frozen"/>
      <selection/>
      <selection pane="bottomLeft" activeCell="F11" sqref="F11"/>
    </sheetView>
  </sheetViews>
  <sheetFormatPr defaultColWidth="9" defaultRowHeight="14" outlineLevelCol="2"/>
  <cols>
    <col min="1" max="1" width="22" customWidth="1"/>
    <col min="2" max="2" width="40" customWidth="1"/>
    <col min="3" max="3" width="62" customWidth="1"/>
  </cols>
  <sheetData>
    <row r="1" spans="1:3">
      <c r="A1" s="1" t="s">
        <v>20</v>
      </c>
      <c r="B1" s="1" t="s">
        <v>446</v>
      </c>
      <c r="C1" s="1" t="s">
        <v>447</v>
      </c>
    </row>
    <row r="2" ht="27" spans="1:3">
      <c r="A2" s="2" t="s">
        <v>448</v>
      </c>
      <c r="B2" s="3" t="s">
        <v>449</v>
      </c>
      <c r="C2" s="3" t="s">
        <v>450</v>
      </c>
    </row>
    <row r="3" spans="1:3">
      <c r="A3" s="2" t="s">
        <v>451</v>
      </c>
      <c r="B3" s="3" t="s">
        <v>452</v>
      </c>
      <c r="C3" s="3" t="s">
        <v>453</v>
      </c>
    </row>
    <row r="4" spans="1:3">
      <c r="A4" s="2" t="s">
        <v>454</v>
      </c>
      <c r="B4" s="3" t="s">
        <v>455</v>
      </c>
      <c r="C4" s="3" t="s">
        <v>456</v>
      </c>
    </row>
    <row r="5" ht="27" spans="1:3">
      <c r="A5" s="2" t="s">
        <v>457</v>
      </c>
      <c r="B5" s="3" t="s">
        <v>458</v>
      </c>
      <c r="C5" s="3" t="s">
        <v>459</v>
      </c>
    </row>
    <row r="6" spans="1:3">
      <c r="A6" s="2" t="s">
        <v>460</v>
      </c>
      <c r="B6" s="3" t="s">
        <v>461</v>
      </c>
      <c r="C6" s="3" t="s">
        <v>462</v>
      </c>
    </row>
    <row r="7" spans="1:3">
      <c r="A7" s="2" t="s">
        <v>463</v>
      </c>
      <c r="B7" s="3" t="s">
        <v>464</v>
      </c>
      <c r="C7" s="3" t="s">
        <v>465</v>
      </c>
    </row>
    <row r="8" spans="1:3">
      <c r="A8" s="2" t="s">
        <v>466</v>
      </c>
      <c r="B8" s="3" t="s">
        <v>467</v>
      </c>
      <c r="C8" s="3" t="s">
        <v>468</v>
      </c>
    </row>
    <row r="9" spans="1:3">
      <c r="A9" s="2" t="s">
        <v>469</v>
      </c>
      <c r="B9" s="3" t="s">
        <v>470</v>
      </c>
      <c r="C9" s="3" t="s">
        <v>471</v>
      </c>
    </row>
    <row r="10" spans="1:3">
      <c r="A10" s="2" t="s">
        <v>472</v>
      </c>
      <c r="B10" s="3" t="s">
        <v>473</v>
      </c>
      <c r="C10" s="3" t="s">
        <v>474</v>
      </c>
    </row>
    <row r="11" ht="27" spans="1:3">
      <c r="A11" s="2" t="s">
        <v>475</v>
      </c>
      <c r="B11" s="3" t="s">
        <v>476</v>
      </c>
      <c r="C11" s="3" t="s">
        <v>477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3"/>
  <cols>
    <col min="1" max="1" width="30" customWidth="1"/>
    <col min="2" max="2" width="34" customWidth="1"/>
    <col min="3" max="3" width="56" customWidth="1"/>
    <col min="4" max="4" width="18" customWidth="1"/>
  </cols>
  <sheetData>
    <row r="1" spans="1:4">
      <c r="A1" s="1" t="s">
        <v>478</v>
      </c>
      <c r="B1" s="1" t="s">
        <v>479</v>
      </c>
      <c r="C1" s="1" t="s">
        <v>480</v>
      </c>
      <c r="D1" s="1" t="s">
        <v>481</v>
      </c>
    </row>
    <row r="2" ht="27" spans="1:4">
      <c r="A2" s="2" t="s">
        <v>482</v>
      </c>
      <c r="B2" s="3" t="s">
        <v>483</v>
      </c>
      <c r="C2" s="3" t="s">
        <v>484</v>
      </c>
      <c r="D2" s="4" t="s">
        <v>485</v>
      </c>
    </row>
    <row r="3" ht="27" spans="1:4">
      <c r="A3" s="2" t="s">
        <v>486</v>
      </c>
      <c r="B3" s="3" t="s">
        <v>487</v>
      </c>
      <c r="C3" s="3" t="s">
        <v>488</v>
      </c>
      <c r="D3" s="4" t="s">
        <v>489</v>
      </c>
    </row>
    <row r="4" ht="27" spans="1:4">
      <c r="A4" s="2" t="s">
        <v>490</v>
      </c>
      <c r="B4" s="3" t="s">
        <v>491</v>
      </c>
      <c r="C4" s="3" t="s">
        <v>492</v>
      </c>
      <c r="D4" s="4" t="s">
        <v>292</v>
      </c>
    </row>
    <row r="5" ht="27" spans="1:4">
      <c r="A5" s="2" t="s">
        <v>493</v>
      </c>
      <c r="B5" s="3" t="s">
        <v>494</v>
      </c>
      <c r="C5" s="3" t="s">
        <v>495</v>
      </c>
      <c r="D5" s="4" t="s">
        <v>496</v>
      </c>
    </row>
    <row r="6" ht="27" spans="1:4">
      <c r="A6" s="2" t="s">
        <v>497</v>
      </c>
      <c r="B6" s="3" t="s">
        <v>498</v>
      </c>
      <c r="C6" s="3" t="s">
        <v>499</v>
      </c>
      <c r="D6" s="4" t="s">
        <v>500</v>
      </c>
    </row>
    <row r="7" ht="27" spans="1:4">
      <c r="A7" s="2" t="s">
        <v>501</v>
      </c>
      <c r="B7" s="3" t="s">
        <v>502</v>
      </c>
      <c r="C7" s="3" t="s">
        <v>503</v>
      </c>
      <c r="D7" s="4" t="s">
        <v>504</v>
      </c>
    </row>
    <row r="8" ht="27" spans="1:4">
      <c r="A8" s="2" t="s">
        <v>505</v>
      </c>
      <c r="B8" s="3" t="s">
        <v>506</v>
      </c>
      <c r="C8" s="3" t="s">
        <v>507</v>
      </c>
      <c r="D8" s="4" t="s">
        <v>508</v>
      </c>
    </row>
    <row r="9" ht="27" spans="1:4">
      <c r="A9" s="2" t="s">
        <v>509</v>
      </c>
      <c r="B9" s="3" t="s">
        <v>510</v>
      </c>
      <c r="C9" s="3" t="s">
        <v>511</v>
      </c>
      <c r="D9" s="4" t="s">
        <v>242</v>
      </c>
    </row>
    <row r="10" ht="40.5" spans="1:4">
      <c r="A10" s="2" t="s">
        <v>512</v>
      </c>
      <c r="B10" s="3" t="s">
        <v>513</v>
      </c>
      <c r="C10" s="3" t="s">
        <v>514</v>
      </c>
      <c r="D10" s="4" t="s">
        <v>515</v>
      </c>
    </row>
    <row r="11" ht="27" spans="1:4">
      <c r="A11" s="2" t="s">
        <v>516</v>
      </c>
      <c r="B11" s="3" t="s">
        <v>517</v>
      </c>
      <c r="C11" s="3" t="s">
        <v>518</v>
      </c>
      <c r="D11" s="4" t="s">
        <v>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测试总结</vt:lpstr>
      <vt:lpstr>测试用例集</vt:lpstr>
      <vt:lpstr>执行记录</vt:lpstr>
      <vt:lpstr>缺陷与修复记录</vt:lpstr>
      <vt:lpstr>通过标准</vt:lpstr>
      <vt:lpstr>优化动作清单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AI-CRM线索评分助手·测试用例与执行总结</dc:title>
  <dc:creator>openpyxl</dc:creator>
  <cp:lastModifiedBy>ㅤ</cp:lastModifiedBy>
  <dcterms:created xsi:type="dcterms:W3CDTF">2026-10-02T03:35:00Z</dcterms:created>
  <dcterms:modified xsi:type="dcterms:W3CDTF">2026-10-02T03:39:53Z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9D3DFAC0F7D346058142B4AEADCAB347_12</vt:lpwstr>
  </property>
  <property fmtid="{D5CDD505-2E9C-101B-9397-08002B2CF9AE}" pid="3" name="KSOProductBuildVer">
    <vt:lpwstr>2052-12.1.0.21915</vt:lpwstr>
  </property>
</Properties>
</file>